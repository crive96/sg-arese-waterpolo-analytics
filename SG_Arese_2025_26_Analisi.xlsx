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_Squadra" sheetId="1" r:id="rId1"/>
    <sheet name="_Dashboard_Data" sheetId="2" state="hidden" r:id="rId2"/>
    <sheet name="Dashboard_Giocatori" sheetId="3" r:id="rId3"/>
    <sheet name="_Dashboard_Giocatori_Data" sheetId="4" state="hidden" r:id="rId4"/>
    <sheet name="Dashboard_Portieri" sheetId="5" r:id="rId5"/>
    <sheet name="_Dashboard_Portieri_Data" sheetId="6" state="hidden" r:id="rId6"/>
    <sheet name="Confronto_Giocatori" sheetId="7" r:id="rId7"/>
    <sheet name="_Confronto_Data" sheetId="8" state="hidden" r:id="rId8"/>
    <sheet name="Partite" sheetId="9" r:id="rId9"/>
    <sheet name="Squadra_Stagione" sheetId="10" r:id="rId10"/>
    <sheet name="Squadra_Partita" sheetId="11" r:id="rId11"/>
    <sheet name="Giocatori_Stagione" sheetId="12" r:id="rId12"/>
    <sheet name="Portieri" sheetId="13" r:id="rId13"/>
    <sheet name="Valutazione_Stagione" sheetId="14" r:id="rId14"/>
    <sheet name="Classifiche" sheetId="15" r:id="rId15"/>
    <sheet name="Classifiche_Ruolo" sheetId="16" r:id="rId16"/>
    <sheet name="Giocatori_Partita" sheetId="17" r:id="rId17"/>
    <sheet name="Valutazione_Partita" sheetId="18" r:id="rId18"/>
    <sheet name="Metodo" sheetId="19" r:id="rId19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<sst xmlns="http://schemas.openxmlformats.org/spreadsheetml/2006/main" count="10862" uniqueCount="490">
  <si>
    <t>Dashboard Squadra - SG Arese 2025-26</t>
  </si>
  <si>
    <t>Stagione completa su 18 partite. Statistiche dettagliate disponibili su 16 partite con video.</t>
  </si>
  <si>
    <t>Partite</t>
  </si>
  <si>
    <t>Vittorie</t>
  </si>
  <si>
    <t>Pareggi</t>
  </si>
  <si>
    <t>Sconfitte</t>
  </si>
  <si>
    <t>Gol fatti</t>
  </si>
  <si>
    <t>Gol subiti</t>
  </si>
  <si>
    <t>Diff. reti</t>
  </si>
  <si>
    <t>Media GF</t>
  </si>
  <si>
    <t>Media GS</t>
  </si>
  <si>
    <t>Split Squadra</t>
  </si>
  <si>
    <t>Split</t>
  </si>
  <si>
    <t>V</t>
  </si>
  <si>
    <t>N</t>
  </si>
  <si>
    <t>P</t>
  </si>
  <si>
    <t>GF</t>
  </si>
  <si>
    <t>GS</t>
  </si>
  <si>
    <t>Casa</t>
  </si>
  <si>
    <t>Trasferta</t>
  </si>
  <si>
    <t>Andata</t>
  </si>
  <si>
    <t>Ritorno</t>
  </si>
  <si>
    <t>Partite senza statistiche</t>
  </si>
  <si>
    <t>giornata</t>
  </si>
  <si>
    <t>data</t>
  </si>
  <si>
    <t>avversario</t>
  </si>
  <si>
    <t>casa_trasferta</t>
  </si>
  <si>
    <t>arese_gol</t>
  </si>
  <si>
    <t>avversario_gol</t>
  </si>
  <si>
    <t>2026-01-10</t>
  </si>
  <si>
    <t>Project Sport</t>
  </si>
  <si>
    <t>2026-03-28</t>
  </si>
  <si>
    <t>CN Sestri</t>
  </si>
  <si>
    <t>Quarto</t>
  </si>
  <si>
    <t>GF Arese</t>
  </si>
  <si>
    <t>GS Arese</t>
  </si>
  <si>
    <t>Q1</t>
  </si>
  <si>
    <t>Q2</t>
  </si>
  <si>
    <t>Q3</t>
  </si>
  <si>
    <t>Q4</t>
  </si>
  <si>
    <t>Rank</t>
  </si>
  <si>
    <t>Squadra</t>
  </si>
  <si>
    <t>DR</t>
  </si>
  <si>
    <t>Punti</t>
  </si>
  <si>
    <t>Onda Blu Dalmine</t>
  </si>
  <si>
    <t>Bocconi Sport Team</t>
  </si>
  <si>
    <t>SG Sport Arese</t>
  </si>
  <si>
    <t>Busto PN</t>
  </si>
  <si>
    <t>WP Novara</t>
  </si>
  <si>
    <t>SG Andrea Doria</t>
  </si>
  <si>
    <t>PN Como</t>
  </si>
  <si>
    <t>PN Milano 1</t>
  </si>
  <si>
    <t>Note</t>
  </si>
  <si>
    <t>Risultati: 18 partite. Statistiche dettagliate: 16 partite. Quarti disponibili solo dove registrati nel foglio partita.</t>
  </si>
  <si>
    <t>Il confronto con le altre squadre usa tutto il calendario del girone ricostruito dal file HTML.</t>
  </si>
  <si>
    <t>Dashboard Giocatori - SG Arese 2025-26</t>
  </si>
  <si>
    <t>Lettura rapida delle performance individuali: ranking offensivi, valutazione, ruoli, mano e jolly.</t>
  </si>
  <si>
    <t>giocatore</t>
  </si>
  <si>
    <t>gol_tot</t>
  </si>
  <si>
    <t>ZENO</t>
  </si>
  <si>
    <t>BOBBY</t>
  </si>
  <si>
    <t>CRIVE A.</t>
  </si>
  <si>
    <t>STERI</t>
  </si>
  <si>
    <t>BIGA</t>
  </si>
  <si>
    <t>GULLO</t>
  </si>
  <si>
    <t>DONATO</t>
  </si>
  <si>
    <t>POPOVIC</t>
  </si>
  <si>
    <t>assist_tot</t>
  </si>
  <si>
    <t>CRIVE L.</t>
  </si>
  <si>
    <t>BOBBOX</t>
  </si>
  <si>
    <t>SOLDI</t>
  </si>
  <si>
    <t>NOA</t>
  </si>
  <si>
    <t>indice_valutazione_0_100</t>
  </si>
  <si>
    <t>valutazione_grezza_totale</t>
  </si>
  <si>
    <t>Ruolo</t>
  </si>
  <si>
    <t>Giocatori</t>
  </si>
  <si>
    <t>Gol</t>
  </si>
  <si>
    <t>Assist</t>
  </si>
  <si>
    <t>Indice_Valutazione</t>
  </si>
  <si>
    <t>Valutazione_Grezza</t>
  </si>
  <si>
    <t>1-2 - mano-cattiva</t>
  </si>
  <si>
    <t>3 - marcatore del centro</t>
  </si>
  <si>
    <t>4-5 - mano-buona</t>
  </si>
  <si>
    <t>6 - centroboa</t>
  </si>
  <si>
    <t>Mano</t>
  </si>
  <si>
    <t>D</t>
  </si>
  <si>
    <t>S</t>
  </si>
  <si>
    <t>Jolly</t>
  </si>
  <si>
    <t>SI</t>
  </si>
  <si>
    <t>NO</t>
  </si>
  <si>
    <t>pct_tiri_media</t>
  </si>
  <si>
    <t>pct_tiri_stagionale</t>
  </si>
  <si>
    <t>tiri_tot</t>
  </si>
  <si>
    <t>Top Marcatori</t>
  </si>
  <si>
    <t>Top Assist</t>
  </si>
  <si>
    <t>Top % Tiro</t>
  </si>
  <si>
    <t>Ruoli Base</t>
  </si>
  <si>
    <t>Top Valutazione</t>
  </si>
  <si>
    <t>Le metriche di efficienza e media sono da leggere con soglia minima consigliata di 3 partite nel foglio statistico.</t>
  </si>
  <si>
    <t>La dashboard giocatori e' costruita sulle 16 partite con statistiche video disponibili.</t>
  </si>
  <si>
    <t>Dashboard Portieri - SG Arese 2025-26</t>
  </si>
  <si>
    <t>Focus dedicato ai portieri: volume parate, efficienza, gol subiti e valutazione sul campione video disponibile.</t>
  </si>
  <si>
    <t>Portiere</t>
  </si>
  <si>
    <t>Partite giocate stimate</t>
  </si>
  <si>
    <t>Parate</t>
  </si>
  <si>
    <t>% parate media</t>
  </si>
  <si>
    <t>Valutazione grezza totale</t>
  </si>
  <si>
    <t>Valutazione grezza media</t>
  </si>
  <si>
    <t>Indice 0-100</t>
  </si>
  <si>
    <t>FRANCHI</t>
  </si>
  <si>
    <t>LUCA BOLO</t>
  </si>
  <si>
    <t>SANTA</t>
  </si>
  <si>
    <t>parata_tot</t>
  </si>
  <si>
    <t>pct_parate_media</t>
  </si>
  <si>
    <t>partite_giocate_stimate</t>
  </si>
  <si>
    <t>gol_subito_tot</t>
  </si>
  <si>
    <t>valutazione_grezza_media</t>
  </si>
  <si>
    <t>Panoramica Portieri</t>
  </si>
  <si>
    <t>Parate Totali</t>
  </si>
  <si>
    <t>% Parate</t>
  </si>
  <si>
    <t>Gol Subiti</t>
  </si>
  <si>
    <t>Valutazione</t>
  </si>
  <si>
    <t>Per i portieri, una partita e' considerata giocata se ha almeno una tra parata &gt; 0 o gol_subito &gt; 0.</t>
  </si>
  <si>
    <t>Le medie principali dei portieri usano le partite_giocate_stimate; la % parate media usa solo le righe con partita giocata stimata.</t>
  </si>
  <si>
    <t>Confronto Giocatori - SG Arese 2025-26</t>
  </si>
  <si>
    <t>Seleziona uno o due giocatori per confrontare statistiche aggregate e dettaglio partita-per-partita.</t>
  </si>
  <si>
    <t>nome_movimento</t>
  </si>
  <si>
    <t>CAVALLI</t>
  </si>
  <si>
    <t>MAPELLI</t>
  </si>
  <si>
    <t>PASQUA</t>
  </si>
  <si>
    <t>SERGIO</t>
  </si>
  <si>
    <t>nome_portiere</t>
  </si>
  <si>
    <t>nome_standard</t>
  </si>
  <si>
    <t>ruolo</t>
  </si>
  <si>
    <t>ruolo_macro</t>
  </si>
  <si>
    <t>mano</t>
  </si>
  <si>
    <t>ruolo_base</t>
  </si>
  <si>
    <t>ruolo_label</t>
  </si>
  <si>
    <t>jolly</t>
  </si>
  <si>
    <t>ruoli_jolly</t>
  </si>
  <si>
    <t>note_ruolo</t>
  </si>
  <si>
    <t>partite_nel_foglio</t>
  </si>
  <si>
    <t>gol_media</t>
  </si>
  <si>
    <t>assist_media</t>
  </si>
  <si>
    <t>tiri_media</t>
  </si>
  <si>
    <t>palla_rubata_tot</t>
  </si>
  <si>
    <t>palla_rubata_media</t>
  </si>
  <si>
    <t>et_pos_tot</t>
  </si>
  <si>
    <t>et_pos_media</t>
  </si>
  <si>
    <t>tr_pos_tot</t>
  </si>
  <si>
    <t>tr_pos_media</t>
  </si>
  <si>
    <t>parata_media</t>
  </si>
  <si>
    <t>et_neg_tot</t>
  </si>
  <si>
    <t>et_neg_media</t>
  </si>
  <si>
    <t>tr_neg_tot</t>
  </si>
  <si>
    <t>tr_neg_media</t>
  </si>
  <si>
    <t>palla_persa_tot</t>
  </si>
  <si>
    <t>palla_persa_media</t>
  </si>
  <si>
    <t>gol_subito_media</t>
  </si>
  <si>
    <t>controfallo_tot</t>
  </si>
  <si>
    <t>controfallo_media</t>
  </si>
  <si>
    <t>errore_tot</t>
  </si>
  <si>
    <t>errore_media</t>
  </si>
  <si>
    <t>partite_con_eventi</t>
  </si>
  <si>
    <t>valutazione_totale</t>
  </si>
  <si>
    <t>valutazione_media</t>
  </si>
  <si>
    <t>movimento</t>
  </si>
  <si>
    <t>4-5</t>
  </si>
  <si>
    <t>3</t>
  </si>
  <si>
    <t>6</t>
  </si>
  <si>
    <t>1-2</t>
  </si>
  <si>
    <t>mano-buona</t>
  </si>
  <si>
    <t>marcatore del centro</t>
  </si>
  <si>
    <t>centroboa</t>
  </si>
  <si>
    <t>mano-cattiva</t>
  </si>
  <si>
    <t>1,2,4,5</t>
  </si>
  <si>
    <t>4,5,6</t>
  </si>
  <si>
    <t>3,4,5,6</t>
  </si>
  <si>
    <t>3,6</t>
  </si>
  <si>
    <t>principalmente 1,2,4,5</t>
  </si>
  <si>
    <t>portiere</t>
  </si>
  <si>
    <t>GK</t>
  </si>
  <si>
    <t>gol</t>
  </si>
  <si>
    <t>assist</t>
  </si>
  <si>
    <t>tiri</t>
  </si>
  <si>
    <t>pct_tiri</t>
  </si>
  <si>
    <t>palla_rubata</t>
  </si>
  <si>
    <t>palla_persa</t>
  </si>
  <si>
    <t>et_pos</t>
  </si>
  <si>
    <t>et_neg</t>
  </si>
  <si>
    <t>tr_pos</t>
  </si>
  <si>
    <t>tr_neg</t>
  </si>
  <si>
    <t>controfallo</t>
  </si>
  <si>
    <t>errore</t>
  </si>
  <si>
    <t>valutazione_finale</t>
  </si>
  <si>
    <t>2026-01-17</t>
  </si>
  <si>
    <t>2026-01-24</t>
  </si>
  <si>
    <t>2026-01-31</t>
  </si>
  <si>
    <t>2026-02-07</t>
  </si>
  <si>
    <t>2026-02-14</t>
  </si>
  <si>
    <t>2026-02-21</t>
  </si>
  <si>
    <t>2026-02-28</t>
  </si>
  <si>
    <t>2026-03-07</t>
  </si>
  <si>
    <t>2026-03-21</t>
  </si>
  <si>
    <t>2026-04-11</t>
  </si>
  <si>
    <t>2026-04-18</t>
  </si>
  <si>
    <t>2026-04-21</t>
  </si>
  <si>
    <t>2026-05-09</t>
  </si>
  <si>
    <t>2026-05-16</t>
  </si>
  <si>
    <t>2026-05-23</t>
  </si>
  <si>
    <t>2026-05-30</t>
  </si>
  <si>
    <t>partita_giocata_stimata_portiere</t>
  </si>
  <si>
    <t>parata</t>
  </si>
  <si>
    <t>gol_subito</t>
  </si>
  <si>
    <t>pct_parate</t>
  </si>
  <si>
    <t>Giocatori di Movimento</t>
  </si>
  <si>
    <t>Giocatore A</t>
  </si>
  <si>
    <t>Giocatore B</t>
  </si>
  <si>
    <t>Metrica</t>
  </si>
  <si>
    <t>Delta A-B</t>
  </si>
  <si>
    <t>Gol/partita</t>
  </si>
  <si>
    <t>Assist/partita</t>
  </si>
  <si>
    <t>Tiri</t>
  </si>
  <si>
    <t>% tiro media</t>
  </si>
  <si>
    <t>% tiro stagionale</t>
  </si>
  <si>
    <t>Palle rubate</t>
  </si>
  <si>
    <t>Palle perse</t>
  </si>
  <si>
    <t>ET+</t>
  </si>
  <si>
    <t>ET-</t>
  </si>
  <si>
    <t>TR+</t>
  </si>
  <si>
    <t>TR-</t>
  </si>
  <si>
    <t>Controfalli</t>
  </si>
  <si>
    <t>Errori</t>
  </si>
  <si>
    <t>Val. grezza tot</t>
  </si>
  <si>
    <t>Val. grezza media</t>
  </si>
  <si>
    <t>Confronto offensivo</t>
  </si>
  <si>
    <t>A</t>
  </si>
  <si>
    <t>B</t>
  </si>
  <si>
    <t>Dettaglio movimento partita-per-partita</t>
  </si>
  <si>
    <t>G</t>
  </si>
  <si>
    <t>Data</t>
  </si>
  <si>
    <t>Avversario</t>
  </si>
  <si>
    <t>Casa/Trasf</t>
  </si>
  <si>
    <t>A Gol</t>
  </si>
  <si>
    <t>A Ast</t>
  </si>
  <si>
    <t>A Tiri</t>
  </si>
  <si>
    <t>A Val</t>
  </si>
  <si>
    <t>B Gol</t>
  </si>
  <si>
    <t>B Ast</t>
  </si>
  <si>
    <t>B Tiri</t>
  </si>
  <si>
    <t>B Val</t>
  </si>
  <si>
    <t>Portieri</t>
  </si>
  <si>
    <t>Portiere A</t>
  </si>
  <si>
    <t>Portiere B</t>
  </si>
  <si>
    <t>Partite foglio</t>
  </si>
  <si>
    <t>Parate/partita</t>
  </si>
  <si>
    <t>Gol subiti/partita</t>
  </si>
  <si>
    <t>% parate</t>
  </si>
  <si>
    <t>Confronto portieri</t>
  </si>
  <si>
    <t>Dettaglio portieri partita-per-partita</t>
  </si>
  <si>
    <t>A Parate</t>
  </si>
  <si>
    <t>A GS</t>
  </si>
  <si>
    <t>A %</t>
  </si>
  <si>
    <t>A Giocata</t>
  </si>
  <si>
    <t>B Parate</t>
  </si>
  <si>
    <t>B GS</t>
  </si>
  <si>
    <t>B %</t>
  </si>
  <si>
    <t>B Giocata</t>
  </si>
  <si>
    <t>played_key</t>
  </si>
  <si>
    <t>played_flag</t>
  </si>
  <si>
    <t>LUCA BOLO|2</t>
  </si>
  <si>
    <t>SANTA|2</t>
  </si>
  <si>
    <t>LUCA BOLO|3</t>
  </si>
  <si>
    <t>SANTA|3</t>
  </si>
  <si>
    <t>LUCA BOLO|4</t>
  </si>
  <si>
    <t>SANTA|4</t>
  </si>
  <si>
    <t>LUCA BOLO|5</t>
  </si>
  <si>
    <t>SANTA|5</t>
  </si>
  <si>
    <t>LUCA BOLO|6</t>
  </si>
  <si>
    <t>SANTA|6</t>
  </si>
  <si>
    <t>LUCA BOLO|7</t>
  </si>
  <si>
    <t>SANTA|7</t>
  </si>
  <si>
    <t>SANTA|8</t>
  </si>
  <si>
    <t>FRANCHI|8</t>
  </si>
  <si>
    <t>LUCA BOLO|9</t>
  </si>
  <si>
    <t>SANTA|9</t>
  </si>
  <si>
    <t>SANTA|11</t>
  </si>
  <si>
    <t>FRANCHI|11</t>
  </si>
  <si>
    <t>LUCA BOLO|13</t>
  </si>
  <si>
    <t>SANTA|13</t>
  </si>
  <si>
    <t>LUCA BOLO|14</t>
  </si>
  <si>
    <t>SANTA|14</t>
  </si>
  <si>
    <t>LUCA BOLO|10</t>
  </si>
  <si>
    <t>SANTA|10</t>
  </si>
  <si>
    <t>FRANCHI|10</t>
  </si>
  <si>
    <t>LUCA BOLO|15</t>
  </si>
  <si>
    <t>SANTA|15</t>
  </si>
  <si>
    <t>LUCA BOLO|16</t>
  </si>
  <si>
    <t>SANTA|16</t>
  </si>
  <si>
    <t>LUCA BOLO|17</t>
  </si>
  <si>
    <t>SANTA|17</t>
  </si>
  <si>
    <t>LUCA BOLO|18</t>
  </si>
  <si>
    <t>SANTA|18</t>
  </si>
  <si>
    <t>I portieri hanno una partita giocata stimata solo se registrano almeno una tra parata &gt; 0 o gol_subito &gt; 0.</t>
  </si>
  <si>
    <t>Il secondo giocatore/portiere puo' essere lasciato vuoto: le tabelle restano leggibili per analisi singola.</t>
  </si>
  <si>
    <t>match_id</t>
  </si>
  <si>
    <t>ora</t>
  </si>
  <si>
    <t>luogo</t>
  </si>
  <si>
    <t>andata_ritorno</t>
  </si>
  <si>
    <t>esito</t>
  </si>
  <si>
    <t>statistiche_disponibili</t>
  </si>
  <si>
    <t>sheet_name_orig</t>
  </si>
  <si>
    <t>q1_arese</t>
  </si>
  <si>
    <t>q1_avversario</t>
  </si>
  <si>
    <t>q2_arese</t>
  </si>
  <si>
    <t>q2_avversario</t>
  </si>
  <si>
    <t>q3_arese</t>
  </si>
  <si>
    <t>q3_avversario</t>
  </si>
  <si>
    <t>q4_arese</t>
  </si>
  <si>
    <t>q4_avversario</t>
  </si>
  <si>
    <t>parziali_quarti_disponibili</t>
  </si>
  <si>
    <t>G01_A_project_sport</t>
  </si>
  <si>
    <t>G02_A_pn_milano_1</t>
  </si>
  <si>
    <t>G03_A_cn_sestri</t>
  </si>
  <si>
    <t>G04_A_sg_andrea_doria</t>
  </si>
  <si>
    <t>G05_A_busto_pn</t>
  </si>
  <si>
    <t>G06_A_onda_blu_dalmine</t>
  </si>
  <si>
    <t>G07_A_bocconi_sport_team</t>
  </si>
  <si>
    <t>G08_A_pn_como</t>
  </si>
  <si>
    <t>G09_A_wp_novara</t>
  </si>
  <si>
    <t>G10_R_project_sport</t>
  </si>
  <si>
    <t>G11_R_pn_milano_1</t>
  </si>
  <si>
    <t>G12_R_cn_sestri</t>
  </si>
  <si>
    <t>G13_R_sg_andrea_doria</t>
  </si>
  <si>
    <t>G14_R_busto_pn</t>
  </si>
  <si>
    <t>G15_R_onda_blu_dalmine</t>
  </si>
  <si>
    <t>G16_R_bocconi_sport_team</t>
  </si>
  <si>
    <t>G17_R_pn_como</t>
  </si>
  <si>
    <t>G18_R_wp_novara</t>
  </si>
  <si>
    <t>13:00</t>
  </si>
  <si>
    <t>20:30</t>
  </si>
  <si>
    <t>10:00</t>
  </si>
  <si>
    <t>19:00</t>
  </si>
  <si>
    <t>21:00</t>
  </si>
  <si>
    <t>21:30</t>
  </si>
  <si>
    <t>18:30</t>
  </si>
  <si>
    <t>10:30</t>
  </si>
  <si>
    <t>20:00</t>
  </si>
  <si>
    <t>19:30</t>
  </si>
  <si>
    <t>17:00</t>
  </si>
  <si>
    <t>20:45</t>
  </si>
  <si>
    <t>15:30</t>
  </si>
  <si>
    <t>18:00</t>
  </si>
  <si>
    <t>Pia Grande, Monza</t>
  </si>
  <si>
    <t>Comunale, Romano di Lombardia (BG)</t>
  </si>
  <si>
    <t>Comunale, Sori (GE)</t>
  </si>
  <si>
    <t>Comunale, Dalmine (BG)</t>
  </si>
  <si>
    <t>Comunale, Cantu' (CO)</t>
  </si>
  <si>
    <t>Lido Azzurro, Varedo (MB)</t>
  </si>
  <si>
    <t>A. Quadri, Treviglio (BG)</t>
  </si>
  <si>
    <t>Mameli (Voltri), Genova</t>
  </si>
  <si>
    <t>Aquamore Bocconi SC, Milano</t>
  </si>
  <si>
    <t>CS Terdoppio, Novara</t>
  </si>
  <si>
    <t>R</t>
  </si>
  <si>
    <t>A|PN MILANO</t>
  </si>
  <si>
    <t>A|SESTRI</t>
  </si>
  <si>
    <t>A|DORIA</t>
  </si>
  <si>
    <t>A|BUSTO</t>
  </si>
  <si>
    <t>A|ONDABLU</t>
  </si>
  <si>
    <t>A|BOCCONI</t>
  </si>
  <si>
    <t>A|PNCOMO</t>
  </si>
  <si>
    <t>A|NOVARA</t>
  </si>
  <si>
    <t>R|PROJECT</t>
  </si>
  <si>
    <t>R|PN MILANO</t>
  </si>
  <si>
    <t>R|DORIA</t>
  </si>
  <si>
    <t>R|BUSTO</t>
  </si>
  <si>
    <t>R|ONDABLU</t>
  </si>
  <si>
    <t>R|BOCCONI</t>
  </si>
  <si>
    <t>R|PNCOMO</t>
  </si>
  <si>
    <t>R|NOVARA</t>
  </si>
  <si>
    <t>Sintesi stagione</t>
  </si>
  <si>
    <t>Valore</t>
  </si>
  <si>
    <t>Partite totali</t>
  </si>
  <si>
    <t>Differenza reti</t>
  </si>
  <si>
    <t>Media gol fatti</t>
  </si>
  <si>
    <t>Media gol subiti</t>
  </si>
  <si>
    <t>Partite con statistiche</t>
  </si>
  <si>
    <t>Andamento per giornata</t>
  </si>
  <si>
    <t>Esito</t>
  </si>
  <si>
    <t>Rendimento quarti</t>
  </si>
  <si>
    <t>Diff</t>
  </si>
  <si>
    <t>gol_fatti</t>
  </si>
  <si>
    <t>gol_subiti</t>
  </si>
  <si>
    <t>gol_plus</t>
  </si>
  <si>
    <t>gol_minus</t>
  </si>
  <si>
    <t>tr_plus_team</t>
  </si>
  <si>
    <t>tr_minus_team</t>
  </si>
  <si>
    <t>palla_al_centro</t>
  </si>
  <si>
    <t>pct_et_pos</t>
  </si>
  <si>
    <t>pct_et_neg</t>
  </si>
  <si>
    <t>pct_tr_pos</t>
  </si>
  <si>
    <t>pct_tr_neg</t>
  </si>
  <si>
    <t>precisione_tiro_loro</t>
  </si>
  <si>
    <t>precisione_tiro_noi</t>
  </si>
  <si>
    <t>tiri_fuori_loro</t>
  </si>
  <si>
    <t>pali_loro</t>
  </si>
  <si>
    <t>controf_a_favore</t>
  </si>
  <si>
    <t>formula_version</t>
  </si>
  <si>
    <t>ranking_totale</t>
  </si>
  <si>
    <t>ranking_media</t>
  </si>
  <si>
    <t>v1</t>
  </si>
  <si>
    <t>Top marcatori</t>
  </si>
  <si>
    <t>Top assist</t>
  </si>
  <si>
    <t>Miglior percentuale tiro media</t>
  </si>
  <si>
    <t>Miglior percentuale tiro stagionale</t>
  </si>
  <si>
    <t>Valutazione movimento</t>
  </si>
  <si>
    <t>Portieri - Parate</t>
  </si>
  <si>
    <t>Valutazione portieri</t>
  </si>
  <si>
    <t>Errori soggettivi</t>
  </si>
  <si>
    <t>Risultati estremi</t>
  </si>
  <si>
    <t>Tipo</t>
  </si>
  <si>
    <t>Giornata</t>
  </si>
  <si>
    <t>Risultato</t>
  </si>
  <si>
    <t>Luogo</t>
  </si>
  <si>
    <t>Miglior vittoria</t>
  </si>
  <si>
    <t>23.0-8.0</t>
  </si>
  <si>
    <t>Peggior sconfitta</t>
  </si>
  <si>
    <t>7.0-13.0</t>
  </si>
  <si>
    <t>Riepilogo per Ruolo Base</t>
  </si>
  <si>
    <t>Gruppo</t>
  </si>
  <si>
    <t>Partite campione</t>
  </si>
  <si>
    <t>Gol tot</t>
  </si>
  <si>
    <t>Assist tot</t>
  </si>
  <si>
    <t>Tiri tot</t>
  </si>
  <si>
    <t>Val. totale</t>
  </si>
  <si>
    <t>Val. media</t>
  </si>
  <si>
    <t>Parate tot</t>
  </si>
  <si>
    <t>Gol subiti tot</t>
  </si>
  <si>
    <t>Riepilogo per Mano</t>
  </si>
  <si>
    <t>Riepilogo Jolly</t>
  </si>
  <si>
    <t>Ranking 1-2</t>
  </si>
  <si>
    <t>Ranking 3</t>
  </si>
  <si>
    <t>Ranking 4-5</t>
  </si>
  <si>
    <t>Ranking 6</t>
  </si>
  <si>
    <t>Ranking GK</t>
  </si>
  <si>
    <t>Ranking D</t>
  </si>
  <si>
    <t>Ranking S</t>
  </si>
  <si>
    <t>Ranking Jolly</t>
  </si>
  <si>
    <t>Ranking Non Jolly</t>
  </si>
  <si>
    <t>Voce</t>
  </si>
  <si>
    <t>Dettaglio</t>
  </si>
  <si>
    <t>Soglia medie</t>
  </si>
  <si>
    <t>Classifiche di media da usare con almeno 3 partite.</t>
  </si>
  <si>
    <t>Base dati</t>
  </si>
  <si>
    <t>Le aggregazioni usano le 16 partite con statistiche video.</t>
  </si>
  <si>
    <t>ERRORE</t>
  </si>
  <si>
    <t>ERRORE non e' una classifica centrale in questo foglio, ma resta nei dettagli giocatore.</t>
  </si>
  <si>
    <t>sheet_name</t>
  </si>
  <si>
    <t>opponent</t>
  </si>
  <si>
    <t>convocato_nel_foglio</t>
  </si>
  <si>
    <t>riga_con_trattini</t>
  </si>
  <si>
    <t>riga_solo_presenza</t>
  </si>
  <si>
    <t>errore_soggettivo</t>
  </si>
  <si>
    <t>valutazione_lorda</t>
  </si>
  <si>
    <t>bonus_positivi</t>
  </si>
  <si>
    <t>malus_negativi</t>
  </si>
  <si>
    <t>malus_errore_soggettivo</t>
  </si>
  <si>
    <t>Dataset risultati</t>
  </si>
  <si>
    <t>Dataset statistiche</t>
  </si>
  <si>
    <t>Ruoli</t>
  </si>
  <si>
    <t>Trattino (-)</t>
  </si>
  <si>
    <t>Quarti</t>
  </si>
  <si>
    <t>Classifiche per media</t>
  </si>
  <si>
    <t>% tiro media vs stagionale</t>
  </si>
  <si>
    <t>Partite giocate stimate portieri</t>
  </si>
  <si>
    <t>Indice valutazione 0-100</t>
  </si>
  <si>
    <t>Formula valutazione movimento</t>
  </si>
  <si>
    <t>Formula valutazione portieri</t>
  </si>
  <si>
    <t>18 partite di stagione ricostruite dal calendario HTML.</t>
  </si>
  <si>
    <t>16 partite con foglio statistico disponibile. Mancano le gare senza video: Arese-Project 13-10 e Sestri-Arese 8-8.</t>
  </si>
  <si>
    <t>Ruoli macro e tecnici assegnati da anagrafica manuale; la regola dei primi 3 nomi resta solo fallback tecnico.</t>
  </si>
  <si>
    <t>Dato non rilevato/non utilizzabile; non viene convertito in zero. Se tutte le colonne evento B:N sono '-', la riga e' considerata partita non giocata ed esclusa dagli aggregati giocatore.</t>
  </si>
  <si>
    <t>Metrica soggettiva: inclusa nelle aggregazioni e nella valutazione, ma da leggere con cautela.</t>
  </si>
  <si>
    <t>Estratti solo quando il foglio contiene stringhe esplicite nel formato I/II/III/IV: x-y.</t>
  </si>
  <si>
    <t>Richiedono almeno 3 partite nel foglio statistico.</t>
  </si>
  <si>
    <t>% tiro media = media delle percentuali tiro delle singole partite. % tiro stagionale = gol totali / tiri totali.</t>
  </si>
  <si>
    <t>Per i portieri: partita giocata stimata se ha almeno una tra parata &gt; 0 oppure gol_subito &gt; 0. Le medie principali usano questo denominatore.</t>
  </si>
  <si>
    <t>Indice normalizzato 0-100 calcolato separatamente per giocatori di movimento e portieri, a partire dalla valutazione grezza totale stagionale.</t>
  </si>
  <si>
    <t>5*gol + 3*assist + 0.5*tiri + 2*palla_rubata + 2.5*et_pos + 3*tr_pos + 1*parata - 2.5*et_neg - 3*tr_neg - 2*palla_persa - 1*gol_subito - 2*controfallo - 2*errore</t>
  </si>
  <si>
    <t>3*parata + 3*assist + 5*gol + 2*palla_rubata - 3*gol_subito - 2*et_neg - 1*tr_neg - 2*palla_persa - 2*controfallo - 2*errore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</si>
</sst>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7">
    <font>
      <sz val="11"/>
      <color theme="1"/>
      <name val="Calibri"/>
      <family val="2"/>
      <scheme val="minor"/>
    </font>
    <font>
      <b/>
      <sz val="18"/>
      <color rgb="FF1F1F1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5" fillId="4" borderId="1" xfId="0" applyFont="1" applyFill="1" applyBorder="1"/>
    <xf numFmtId="0" fontId="3" fillId="2" borderId="1" xfId="0" applyFont="1" applyFill="1" applyBorder="1"/>
    <xf numFmtId="0" fontId="0" fillId="0" borderId="0" xfId="0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6" fillId="5" borderId="1" xfId="0" applyFont="1" applyFill="1" applyBorder="1"/>
    <xf numFmtId="0" fontId="0" fillId="3" borderId="1" xfId="0" applyFill="1" applyBorder="1"/>
    <xf numFmtId="0" fontId="0" fillId="0" borderId="1" xfId="0" applyBorder="1"/>
    <xf numFmtId="165" fontId="0" fillId="0" borderId="1" xfId="0" applyNumberFormat="1" applyBorder="1"/>
    <xf numFmtId="0" fontId="0" fillId="5" borderId="0" xfId="0" applyFill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0" fillId="6" borderId="0" xfId="0" applyFill="1"/>
    <xf numFmtId="164" fontId="0" fillId="0" borderId="0" xfId="0" applyNumberFormat="1"/>
    <xf numFmtId="0" fontId="0" fillId="7" borderId="0" xfId="0" applyFill="1"/>
    <xf numFmtId="0" fontId="6" fillId="4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Relationship Id="rId23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Andamento gol fatti / subiti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GF</c:v>
          </c:tx>
          <c:spPr>
            <a:ln w="28575">
              <a:solidFill>
                <a:srgbClr val="2E75B6"/>
              </a:solidFill>
            </a:ln>
          </c:spPr>
          <c:marker>
            <c:symbol val="none"/>
          </c:marker>
          <c:cat>
            <c:numRef>
              <c:f>'_Dashboard_Data'!$A$2:$A$19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'_Dashboard_Data'!$B$2:$B$19</c:f>
              <c:numCache>
                <c:formatCode>General</c:formatCode>
                <c:ptCount val="18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7</c:v>
                </c:pt>
                <c:pt idx="6">
                  <c:v>10</c:v>
                </c:pt>
                <c:pt idx="7">
                  <c:v>12</c:v>
                </c:pt>
                <c:pt idx="8">
                  <c:v>8</c:v>
                </c:pt>
                <c:pt idx="9">
                  <c:v>23</c:v>
                </c:pt>
                <c:pt idx="10">
                  <c:v>16</c:v>
                </c:pt>
                <c:pt idx="11">
                  <c:v>8</c:v>
                </c:pt>
                <c:pt idx="12">
                  <c:v>9</c:v>
                </c:pt>
                <c:pt idx="13">
                  <c:v>15</c:v>
                </c:pt>
                <c:pt idx="14">
                  <c:v>16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</c:numCache>
            </c:numRef>
          </c:val>
        </c:ser>
        <c:ser>
          <c:idx val="1"/>
          <c:order val="1"/>
          <c:tx>
            <c:v>GS</c:v>
          </c:tx>
          <c:spPr>
            <a:ln w="28575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'_Dashboard_Data'!$A$2:$A$19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'_Dashboard_Data'!$C$2:$C$19</c:f>
              <c:numCache>
                <c:formatCode>General</c:formatCode>
                <c:ptCount val="18"/>
                <c:pt idx="0">
                  <c:v>10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13</c:v>
                </c:pt>
                <c:pt idx="6">
                  <c:v>11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12</c:v>
                </c:pt>
                <c:pt idx="11">
                  <c:v>8</c:v>
                </c:pt>
                <c:pt idx="12">
                  <c:v>8</c:v>
                </c:pt>
                <c:pt idx="13">
                  <c:v>11</c:v>
                </c:pt>
                <c:pt idx="14">
                  <c:v>8</c:v>
                </c:pt>
                <c:pt idx="15">
                  <c:v>12</c:v>
                </c:pt>
                <c:pt idx="16">
                  <c:v>10</c:v>
                </c:pt>
                <c:pt idx="17">
                  <c:v>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Giornata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Gol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Casa / Trasferta / Andata / Ritorno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GF</c:v>
          </c:tx>
          <c:spPr>
            <a:solidFill>
              <a:srgbClr val="70AD47"/>
            </a:solidFill>
          </c:spPr>
          <c:cat>
            <c:strRef>
              <c:f>'_Dashboard_Data'!$A$23:$A$26</c:f>
              <c:strCache>
                <c:ptCount val="4"/>
                <c:pt idx="0">
                  <c:v>Casa</c:v>
                </c:pt>
                <c:pt idx="1">
                  <c:v>Trasferta</c:v>
                </c:pt>
                <c:pt idx="2">
                  <c:v>Andata</c:v>
                </c:pt>
                <c:pt idx="3">
                  <c:v>Ritorno</c:v>
                </c:pt>
              </c:strCache>
            </c:strRef>
          </c:cat>
          <c:val>
            <c:numRef>
              <c:f>'_Dashboard_Data'!$F$23:$F$26</c:f>
              <c:numCache>
                <c:formatCode>General</c:formatCode>
                <c:ptCount val="4"/>
                <c:pt idx="0">
                  <c:v>112</c:v>
                </c:pt>
                <c:pt idx="1">
                  <c:v>120</c:v>
                </c:pt>
                <c:pt idx="2">
                  <c:v>103</c:v>
                </c:pt>
                <c:pt idx="3">
                  <c:v>129</c:v>
                </c:pt>
              </c:numCache>
            </c:numRef>
          </c:val>
        </c:ser>
        <c:ser>
          <c:idx val="1"/>
          <c:order val="1"/>
          <c:tx>
            <c:v>GS</c:v>
          </c:tx>
          <c:spPr>
            <a:solidFill>
              <a:srgbClr val="C0504D"/>
            </a:solidFill>
          </c:spPr>
          <c:cat>
            <c:strRef>
              <c:f>'_Dashboard_Data'!$A$23:$A$26</c:f>
              <c:strCache>
                <c:ptCount val="4"/>
                <c:pt idx="0">
                  <c:v>Casa</c:v>
                </c:pt>
                <c:pt idx="1">
                  <c:v>Trasferta</c:v>
                </c:pt>
                <c:pt idx="2">
                  <c:v>Andata</c:v>
                </c:pt>
                <c:pt idx="3">
                  <c:v>Ritorno</c:v>
                </c:pt>
              </c:strCache>
            </c:strRef>
          </c:cat>
          <c:val>
            <c:numRef>
              <c:f>'_Dashboard_Data'!$G$23:$G$26</c:f>
              <c:numCache>
                <c:formatCode>General</c:formatCode>
                <c:ptCount val="4"/>
                <c:pt idx="0">
                  <c:v>92</c:v>
                </c:pt>
                <c:pt idx="1">
                  <c:v>90</c:v>
                </c:pt>
                <c:pt idx="2">
                  <c:v>97</c:v>
                </c:pt>
                <c:pt idx="3">
                  <c:v>85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Rendimento per quarti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GF Arese</c:v>
          </c:tx>
          <c:spPr>
            <a:solidFill>
              <a:srgbClr val="5B9BD5"/>
            </a:solidFill>
          </c:spPr>
          <c:cat>
            <c:strRef>
              <c:f>'_Dashboard_Data'!$A$30:$A$33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'_Dashboard_Data'!$B$30:$B$33</c:f>
              <c:numCache>
                <c:formatCode>General</c:formatCode>
                <c:ptCount val="4"/>
                <c:pt idx="0">
                  <c:v>36</c:v>
                </c:pt>
                <c:pt idx="1">
                  <c:v>36</c:v>
                </c:pt>
                <c:pt idx="2">
                  <c:v>41</c:v>
                </c:pt>
                <c:pt idx="3">
                  <c:v>37</c:v>
                </c:pt>
              </c:numCache>
            </c:numRef>
          </c:val>
        </c:ser>
        <c:ser>
          <c:idx val="1"/>
          <c:order val="1"/>
          <c:tx>
            <c:v>GS Arese</c:v>
          </c:tx>
          <c:spPr>
            <a:solidFill>
              <a:srgbClr val="ED7D31"/>
            </a:solidFill>
          </c:spPr>
          <c:cat>
            <c:strRef>
              <c:f>'_Dashboard_Data'!$A$30:$A$33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'_Dashboard_Data'!$C$30:$C$33</c:f>
              <c:numCache>
                <c:formatCode>General</c:formatCode>
                <c:ptCount val="4"/>
                <c:pt idx="0">
                  <c:v>22</c:v>
                </c:pt>
                <c:pt idx="1">
                  <c:v>28</c:v>
                </c:pt>
                <c:pt idx="2">
                  <c:v>26</c:v>
                </c:pt>
                <c:pt idx="3">
                  <c:v>30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Confronto finale con tutto il girone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Punti finali</c:v>
          </c:tx>
          <c:spPr>
            <a:solidFill>
              <a:srgbClr val="4472C4"/>
            </a:solidFill>
          </c:spPr>
          <c:cat>
            <c:strRef>
              <c:f>'_Dashboard_Data'!$B$37:$B$46</c:f>
              <c:strCache>
                <c:ptCount val="10"/>
                <c:pt idx="0">
                  <c:v>Onda Blu Dalmine</c:v>
                </c:pt>
                <c:pt idx="1">
                  <c:v>Bocconi Sport Team</c:v>
                </c:pt>
                <c:pt idx="2">
                  <c:v>SG Sport Arese</c:v>
                </c:pt>
                <c:pt idx="3">
                  <c:v>Busto PN</c:v>
                </c:pt>
                <c:pt idx="4">
                  <c:v>WP Novara</c:v>
                </c:pt>
                <c:pt idx="5">
                  <c:v>SG Andrea Doria</c:v>
                </c:pt>
                <c:pt idx="6">
                  <c:v>PN Como</c:v>
                </c:pt>
                <c:pt idx="7">
                  <c:v>CN Sestri</c:v>
                </c:pt>
                <c:pt idx="8">
                  <c:v>PN Milano 1</c:v>
                </c:pt>
                <c:pt idx="9">
                  <c:v>Project Sport</c:v>
                </c:pt>
              </c:strCache>
            </c:strRef>
          </c:cat>
          <c:val>
            <c:numRef>
              <c:f>'_Dashboard_Data'!$I$37:$I$46</c:f>
              <c:numCache>
                <c:formatCode>General</c:formatCode>
                <c:ptCount val="10"/>
                <c:pt idx="0">
                  <c:v>103</c:v>
                </c:pt>
                <c:pt idx="1">
                  <c:v>51</c:v>
                </c:pt>
                <c:pt idx="2">
                  <c:v>50</c:v>
                </c:pt>
                <c:pt idx="3">
                  <c:v>34</c:v>
                </c:pt>
                <c:pt idx="4">
                  <c:v>4</c:v>
                </c:pt>
                <c:pt idx="5">
                  <c:v>28</c:v>
                </c:pt>
                <c:pt idx="6">
                  <c:v>-42</c:v>
                </c:pt>
                <c:pt idx="7">
                  <c:v>-53</c:v>
                </c:pt>
                <c:pt idx="8">
                  <c:v>-76</c:v>
                </c:pt>
                <c:pt idx="9">
                  <c:v>-99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Punti cumulati: Arese + principali avversarie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Bocconi Sport Team</c:v>
          </c:tx>
          <c:spPr>
            <a:ln w="22225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'_Dashboard_Data'!$A$50:$A$67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'_Dashboard_Data'!$B$50:$B$67</c:f>
              <c:numCache>
                <c:formatCode>General</c:formatCode>
                <c:ptCount val="18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  <c:pt idx="5">
                  <c:v>10</c:v>
                </c:pt>
                <c:pt idx="6">
                  <c:v>13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23</c:v>
                </c:pt>
                <c:pt idx="11">
                  <c:v>26</c:v>
                </c:pt>
                <c:pt idx="12">
                  <c:v>29</c:v>
                </c:pt>
                <c:pt idx="13">
                  <c:v>32</c:v>
                </c:pt>
                <c:pt idx="14">
                  <c:v>35</c:v>
                </c:pt>
                <c:pt idx="15">
                  <c:v>35</c:v>
                </c:pt>
                <c:pt idx="16">
                  <c:v>38</c:v>
                </c:pt>
                <c:pt idx="17">
                  <c:v>41</c:v>
                </c:pt>
              </c:numCache>
            </c:numRef>
          </c:val>
        </c:ser>
        <c:ser>
          <c:idx val="1"/>
          <c:order val="1"/>
          <c:tx>
            <c:v>Busto PN</c:v>
          </c:tx>
          <c:spPr>
            <a:ln w="22225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'_Dashboard_Data'!$A$50:$A$67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'_Dashboard_Data'!$C$50:$C$67</c:f>
              <c:numCache>
                <c:formatCode>General</c:formatCode>
                <c:ptCount val="18"/>
                <c:pt idx="0">
                  <c:v>3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21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25</c:v>
                </c:pt>
                <c:pt idx="15">
                  <c:v>28</c:v>
                </c:pt>
                <c:pt idx="16">
                  <c:v>31</c:v>
                </c:pt>
                <c:pt idx="17">
                  <c:v>34</c:v>
                </c:pt>
              </c:numCache>
            </c:numRef>
          </c:val>
        </c:ser>
        <c:ser>
          <c:idx val="2"/>
          <c:order val="2"/>
          <c:tx>
            <c:v>Onda Blu Dalmine</c:v>
          </c:tx>
          <c:spPr>
            <a:ln w="22225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'_Dashboard_Data'!$A$50:$A$67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'_Dashboard_Data'!$D$50:$D$67</c:f>
              <c:numCache>
                <c:formatCode>General</c:formatCode>
                <c:ptCount val="1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25</c:v>
                </c:pt>
                <c:pt idx="9">
                  <c:v>28</c:v>
                </c:pt>
                <c:pt idx="10">
                  <c:v>28</c:v>
                </c:pt>
                <c:pt idx="11">
                  <c:v>31</c:v>
                </c:pt>
                <c:pt idx="12">
                  <c:v>34</c:v>
                </c:pt>
                <c:pt idx="13">
                  <c:v>37</c:v>
                </c:pt>
                <c:pt idx="14">
                  <c:v>37</c:v>
                </c:pt>
                <c:pt idx="15">
                  <c:v>40</c:v>
                </c:pt>
                <c:pt idx="16">
                  <c:v>43</c:v>
                </c:pt>
                <c:pt idx="17">
                  <c:v>43</c:v>
                </c:pt>
              </c:numCache>
            </c:numRef>
          </c:val>
        </c:ser>
        <c:ser>
          <c:idx val="3"/>
          <c:order val="3"/>
          <c:tx>
            <c:v>SG Sport Arese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'_Dashboard_Data'!$A$50:$A$67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'_Dashboard_Data'!$E$50:$E$67</c:f>
              <c:numCache>
                <c:formatCode>General</c:formatCode>
                <c:ptCount val="1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15</c:v>
                </c:pt>
                <c:pt idx="8">
                  <c:v>15</c:v>
                </c:pt>
                <c:pt idx="9">
                  <c:v>18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28</c:v>
                </c:pt>
                <c:pt idx="14">
                  <c:v>31</c:v>
                </c:pt>
                <c:pt idx="15">
                  <c:v>34</c:v>
                </c:pt>
                <c:pt idx="16">
                  <c:v>37</c:v>
                </c:pt>
                <c:pt idx="17">
                  <c:v>40</c:v>
                </c:pt>
              </c:numCache>
            </c:numRef>
          </c:val>
        </c:ser>
        <c:ser>
          <c:idx val="4"/>
          <c:order val="4"/>
          <c:tx>
            <c:v>WP Novara</c:v>
          </c:tx>
          <c:spPr>
            <a:ln w="22225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'_Dashboard_Data'!$A$50:$A$67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'_Dashboard_Data'!$F$50:$F$67</c:f>
              <c:numCache>
                <c:formatCode>General</c:formatCode>
                <c:ptCount val="1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12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18</c:v>
                </c:pt>
                <c:pt idx="9">
                  <c:v>18</c:v>
                </c:pt>
                <c:pt idx="10">
                  <c:v>21</c:v>
                </c:pt>
                <c:pt idx="11">
                  <c:v>24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Giornata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Punti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Marcatori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Gol</c:v>
          </c:tx>
          <c:spPr>
            <a:solidFill>
              <a:srgbClr val="5B9BD5"/>
            </a:solidFill>
          </c:spPr>
          <c:cat>
            <c:strRef>
              <c:f>'_Dashboard_Giocatori_Data'!$A$2:$A$9</c:f>
              <c:strCache>
                <c:ptCount val="8"/>
                <c:pt idx="0">
                  <c:v>ZENO</c:v>
                </c:pt>
                <c:pt idx="1">
                  <c:v>BOBBY</c:v>
                </c:pt>
                <c:pt idx="2">
                  <c:v>CRIVE A.</c:v>
                </c:pt>
                <c:pt idx="3">
                  <c:v>STERI</c:v>
                </c:pt>
                <c:pt idx="4">
                  <c:v>BIGA</c:v>
                </c:pt>
                <c:pt idx="5">
                  <c:v>GULLO</c:v>
                </c:pt>
                <c:pt idx="6">
                  <c:v>DONATO</c:v>
                </c:pt>
                <c:pt idx="7">
                  <c:v>POPOVIC</c:v>
                </c:pt>
              </c:strCache>
            </c:strRef>
          </c:cat>
          <c:val>
            <c:numRef>
              <c:f>'_Dashboard_Giocatori_Data'!$B$2:$B$9</c:f>
              <c:numCache>
                <c:formatCode>General</c:formatCode>
                <c:ptCount val="8"/>
                <c:pt idx="0">
                  <c:v>57</c:v>
                </c:pt>
                <c:pt idx="1">
                  <c:v>36</c:v>
                </c:pt>
                <c:pt idx="2">
                  <c:v>22</c:v>
                </c:pt>
                <c:pt idx="3">
                  <c:v>19</c:v>
                </c:pt>
                <c:pt idx="4">
                  <c:v>16</c:v>
                </c:pt>
                <c:pt idx="5">
                  <c:v>16</c:v>
                </c:pt>
                <c:pt idx="6">
                  <c:v>15</c:v>
                </c:pt>
                <c:pt idx="7">
                  <c:v>11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Assist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Assist</c:v>
          </c:tx>
          <c:spPr>
            <a:solidFill>
              <a:srgbClr val="70AD47"/>
            </a:solidFill>
          </c:spPr>
          <c:cat>
            <c:strRef>
              <c:f>'_Dashboard_Giocatori_Data'!$A$13:$A$20</c:f>
              <c:strCache>
                <c:ptCount val="8"/>
                <c:pt idx="0">
                  <c:v>CRIVE L.</c:v>
                </c:pt>
                <c:pt idx="1">
                  <c:v>BOBBY</c:v>
                </c:pt>
                <c:pt idx="2">
                  <c:v>BIGA</c:v>
                </c:pt>
                <c:pt idx="3">
                  <c:v>BOBBOX</c:v>
                </c:pt>
                <c:pt idx="4">
                  <c:v>SOLDI</c:v>
                </c:pt>
                <c:pt idx="5">
                  <c:v>NOA</c:v>
                </c:pt>
                <c:pt idx="6">
                  <c:v>CRIVE A.</c:v>
                </c:pt>
                <c:pt idx="7">
                  <c:v>DONATO</c:v>
                </c:pt>
              </c:strCache>
            </c:strRef>
          </c:cat>
          <c:val>
            <c:numRef>
              <c:f>'_Dashboard_Giocatori_Data'!$B$13:$B$20</c:f>
              <c:numCache>
                <c:formatCode>General</c:formatCode>
                <c:ptCount val="8"/>
                <c:pt idx="0">
                  <c:v>20</c:v>
                </c:pt>
                <c:pt idx="1">
                  <c:v>19</c:v>
                </c:pt>
                <c:pt idx="2">
                  <c:v>17</c:v>
                </c:pt>
                <c:pt idx="3">
                  <c:v>14</c:v>
                </c:pt>
                <c:pt idx="4">
                  <c:v>14</c:v>
                </c:pt>
                <c:pt idx="5">
                  <c:v>12</c:v>
                </c:pt>
                <c:pt idx="6">
                  <c:v>11</c:v>
                </c:pt>
                <c:pt idx="7">
                  <c:v>7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Valutazione (Indice 0-100)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Indice 0-100</c:v>
          </c:tx>
          <c:spPr>
            <a:solidFill>
              <a:srgbClr val="ED7D31"/>
            </a:solidFill>
          </c:spPr>
          <c:cat>
            <c:strRef>
              <c:f>'_Dashboard_Giocatori_Data'!$A$24:$A$31</c:f>
              <c:strCache>
                <c:ptCount val="8"/>
                <c:pt idx="0">
                  <c:v>BOBBY</c:v>
                </c:pt>
                <c:pt idx="1">
                  <c:v>ZENO</c:v>
                </c:pt>
                <c:pt idx="2">
                  <c:v>CRIVE A.</c:v>
                </c:pt>
                <c:pt idx="3">
                  <c:v>STERI</c:v>
                </c:pt>
                <c:pt idx="4">
                  <c:v>BIGA</c:v>
                </c:pt>
                <c:pt idx="5">
                  <c:v>DONATO</c:v>
                </c:pt>
                <c:pt idx="6">
                  <c:v>GULLO</c:v>
                </c:pt>
                <c:pt idx="7">
                  <c:v>NOA</c:v>
                </c:pt>
              </c:strCache>
            </c:strRef>
          </c:cat>
          <c:val>
            <c:numRef>
              <c:f>'_Dashboard_Giocatori_Data'!$B$24:$B$31</c:f>
              <c:numCache>
                <c:formatCode>General</c:formatCode>
                <c:ptCount val="8"/>
                <c:pt idx="0">
                  <c:v>100</c:v>
                </c:pt>
                <c:pt idx="1">
                  <c:v>98.39</c:v>
                </c:pt>
                <c:pt idx="2">
                  <c:v>73.20999999999999</c:v>
                </c:pt>
                <c:pt idx="3">
                  <c:v>62.32</c:v>
                </c:pt>
                <c:pt idx="4">
                  <c:v>45.36</c:v>
                </c:pt>
                <c:pt idx="5">
                  <c:v>45.18</c:v>
                </c:pt>
                <c:pt idx="6">
                  <c:v>43.39</c:v>
                </c:pt>
                <c:pt idx="7">
                  <c:v>33.39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b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Produzione per ruolo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Gol</c:v>
          </c:tx>
          <c:spPr>
            <a:solidFill>
              <a:srgbClr val="5B9BD5"/>
            </a:solidFill>
          </c:spPr>
          <c:cat>
            <c:strRef>
              <c:f>'_Dashboard_Giocatori_Data'!$A$35:$A$38</c:f>
              <c:strCache>
                <c:ptCount val="4"/>
                <c:pt idx="0">
                  <c:v>1-2 - mano-cattiva</c:v>
                </c:pt>
                <c:pt idx="1">
                  <c:v>3 - marcatore del centro</c:v>
                </c:pt>
                <c:pt idx="2">
                  <c:v>4-5 - mano-buona</c:v>
                </c:pt>
                <c:pt idx="3">
                  <c:v>6 - centroboa</c:v>
                </c:pt>
              </c:strCache>
            </c:strRef>
          </c:cat>
          <c:val>
            <c:numRef>
              <c:f>'_Dashboard_Giocatori_Data'!$C$35:$C$38</c:f>
              <c:numCache>
                <c:formatCode>General</c:formatCode>
                <c:ptCount val="4"/>
                <c:pt idx="0">
                  <c:v>30</c:v>
                </c:pt>
                <c:pt idx="1">
                  <c:v>19</c:v>
                </c:pt>
                <c:pt idx="2">
                  <c:v>120</c:v>
                </c:pt>
                <c:pt idx="3">
                  <c:v>42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Indice valutazione 0-100</c:v>
          </c:tx>
          <c:spPr>
            <a:ln w="28575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'_Dashboard_Giocatori_Data'!$A$35:$A$38</c:f>
              <c:strCache>
                <c:ptCount val="4"/>
                <c:pt idx="0">
                  <c:v>1-2 - mano-cattiva</c:v>
                </c:pt>
                <c:pt idx="1">
                  <c:v>3 - marcatore del centro</c:v>
                </c:pt>
                <c:pt idx="2">
                  <c:v>4-5 - mano-buona</c:v>
                </c:pt>
                <c:pt idx="3">
                  <c:v>6 - centroboa</c:v>
                </c:pt>
              </c:strCache>
            </c:strRef>
          </c:cat>
          <c:val>
            <c:numRef>
              <c:f>'_Dashboard_Giocatori_Data'!$E$35:$E$38</c:f>
              <c:numCache>
                <c:formatCode>General</c:formatCode>
                <c:ptCount val="4"/>
                <c:pt idx="0">
                  <c:v>24.82</c:v>
                </c:pt>
                <c:pt idx="1">
                  <c:v>17.38</c:v>
                </c:pt>
                <c:pt idx="2">
                  <c:v>53.536</c:v>
                </c:pt>
                <c:pt idx="3">
                  <c:v>47.49666666666666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Destri vs Mancini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Gol</c:v>
          </c:tx>
          <c:spPr>
            <a:solidFill>
              <a:srgbClr val="4472C4"/>
            </a:solidFill>
          </c:spPr>
          <c:cat>
            <c:strRef>
              <c:f>'_Dashboard_Giocatori_Data'!$A$42:$A$43</c:f>
              <c:strCache>
                <c:ptCount val="2"/>
                <c:pt idx="0">
                  <c:v>D</c:v>
                </c:pt>
                <c:pt idx="1">
                  <c:v>S</c:v>
                </c:pt>
              </c:strCache>
            </c:strRef>
          </c:cat>
          <c:val>
            <c:numRef>
              <c:f>'_Dashboard_Giocatori_Data'!$C$42:$C$43</c:f>
              <c:numCache>
                <c:formatCode>General</c:formatCode>
                <c:ptCount val="2"/>
                <c:pt idx="0">
                  <c:v>196</c:v>
                </c:pt>
                <c:pt idx="1">
                  <c:v>15</c:v>
                </c:pt>
              </c:numCache>
            </c:numRef>
          </c:val>
        </c:ser>
        <c:ser>
          <c:idx val="1"/>
          <c:order val="1"/>
          <c:tx>
            <c:v>Indice valutazione 0-100</c:v>
          </c:tx>
          <c:spPr>
            <a:solidFill>
              <a:srgbClr val="FFC000"/>
            </a:solidFill>
          </c:spPr>
          <c:cat>
            <c:strRef>
              <c:f>'_Dashboard_Giocatori_Data'!$A$42:$A$43</c:f>
              <c:strCache>
                <c:ptCount val="2"/>
                <c:pt idx="0">
                  <c:v>D</c:v>
                </c:pt>
                <c:pt idx="1">
                  <c:v>S</c:v>
                </c:pt>
              </c:strCache>
            </c:strRef>
          </c:cat>
          <c:val>
            <c:numRef>
              <c:f>'_Dashboard_Giocatori_Data'!$E$42:$E$43</c:f>
              <c:numCache>
                <c:formatCode>General</c:formatCode>
                <c:ptCount val="2"/>
                <c:pt idx="0">
                  <c:v>36.082</c:v>
                </c:pt>
                <c:pt idx="1">
                  <c:v>45.18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Jolly vs Non Jolly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Gol</c:v>
          </c:tx>
          <c:spPr>
            <a:solidFill>
              <a:srgbClr val="70AD47"/>
            </a:solidFill>
          </c:spPr>
          <c:cat>
            <c:strRef>
              <c:f>'_Dashboard_Giocatori_Data'!$A$47:$A$48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'_Dashboard_Giocatori_Data'!$C$47:$C$48</c:f>
              <c:numCache>
                <c:formatCode>General</c:formatCode>
                <c:ptCount val="2"/>
                <c:pt idx="0">
                  <c:v>90</c:v>
                </c:pt>
                <c:pt idx="1">
                  <c:v>121</c:v>
                </c:pt>
              </c:numCache>
            </c:numRef>
          </c:val>
        </c:ser>
        <c:ser>
          <c:idx val="1"/>
          <c:order val="1"/>
          <c:tx>
            <c:v>Indice valutazione 0-100</c:v>
          </c:tx>
          <c:spPr>
            <a:solidFill>
              <a:srgbClr val="C55A11"/>
            </a:solidFill>
          </c:spPr>
          <c:cat>
            <c:strRef>
              <c:f>'_Dashboard_Giocatori_Data'!$A$47:$A$48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'_Dashboard_Giocatori_Data'!$E$47:$E$48</c:f>
              <c:numCache>
                <c:formatCode>General</c:formatCode>
                <c:ptCount val="2"/>
                <c:pt idx="0">
                  <c:v>65.48999999999999</c:v>
                </c:pt>
                <c:pt idx="1">
                  <c:v>27.0375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Parate Totali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Parate</c:v>
          </c:tx>
          <c:spPr>
            <a:solidFill>
              <a:srgbClr val="5B9BD5"/>
            </a:solidFill>
          </c:spPr>
          <c:cat>
            <c:strRef>
              <c:f>'_Dashboard_Portieri_Data'!$A$8:$A$10</c:f>
              <c:strCache>
                <c:ptCount val="3"/>
                <c:pt idx="0">
                  <c:v>SANTA</c:v>
                </c:pt>
                <c:pt idx="1">
                  <c:v>LUCA BOLO</c:v>
                </c:pt>
                <c:pt idx="2">
                  <c:v>FRANCHI</c:v>
                </c:pt>
              </c:strCache>
            </c:strRef>
          </c:cat>
          <c:val>
            <c:numRef>
              <c:f>'_Dashboard_Portieri_Data'!$B$8:$B$10</c:f>
              <c:numCache>
                <c:formatCode>General</c:formatCode>
                <c:ptCount val="3"/>
                <c:pt idx="0">
                  <c:v>82</c:v>
                </c:pt>
                <c:pt idx="1">
                  <c:v>54</c:v>
                </c:pt>
                <c:pt idx="2">
                  <c:v>4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Efficienza Portieri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% parate media</c:v>
          </c:tx>
          <c:spPr>
            <a:solidFill>
              <a:srgbClr val="70AD47"/>
            </a:solidFill>
          </c:spPr>
          <c:cat>
            <c:strRef>
              <c:f>'_Dashboard_Portieri_Data'!$A$14:$A$16</c:f>
              <c:strCache>
                <c:ptCount val="3"/>
                <c:pt idx="0">
                  <c:v>FRANCHI</c:v>
                </c:pt>
                <c:pt idx="1">
                  <c:v>SANTA</c:v>
                </c:pt>
                <c:pt idx="2">
                  <c:v>LUCA BOLO</c:v>
                </c:pt>
              </c:strCache>
            </c:strRef>
          </c:cat>
          <c:val>
            <c:numRef>
              <c:f>'_Dashboard_Portieri_Data'!$B$14:$B$16</c:f>
              <c:numCache>
                <c:formatCode>General</c:formatCode>
                <c:ptCount val="3"/>
                <c:pt idx="0">
                  <c:v>0.45</c:v>
                </c:pt>
                <c:pt idx="1">
                  <c:v>0.43914</c:v>
                </c:pt>
                <c:pt idx="2">
                  <c:v>0.372448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Gol Subiti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Gol subiti</c:v>
          </c:tx>
          <c:spPr>
            <a:solidFill>
              <a:srgbClr val="C0504D"/>
            </a:solidFill>
          </c:spPr>
          <c:cat>
            <c:strRef>
              <c:f>'_Dashboard_Portieri_Data'!$A$20:$A$22</c:f>
              <c:strCache>
                <c:ptCount val="3"/>
                <c:pt idx="0">
                  <c:v>FRANCHI</c:v>
                </c:pt>
                <c:pt idx="1">
                  <c:v>LUCA BOLO</c:v>
                </c:pt>
                <c:pt idx="2">
                  <c:v>SANTA</c:v>
                </c:pt>
              </c:strCache>
            </c:strRef>
          </c:cat>
          <c:val>
            <c:numRef>
              <c:f>'_Dashboard_Portieri_Data'!$B$20:$B$22</c:f>
              <c:numCache>
                <c:formatCode>General</c:formatCode>
                <c:ptCount val="3"/>
                <c:pt idx="0">
                  <c:v>5</c:v>
                </c:pt>
                <c:pt idx="1">
                  <c:v>73</c:v>
                </c:pt>
                <c:pt idx="2">
                  <c:v>86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Parate vs Gol Subiti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Parate</c:v>
          </c:tx>
          <c:spPr>
            <a:solidFill>
              <a:srgbClr val="5B9BD5"/>
            </a:solidFill>
          </c:spPr>
          <c:cat>
            <c:strRef>
              <c:f>'_Dashboard_Portieri_Data'!$A$2:$A$4</c:f>
              <c:strCache>
                <c:ptCount val="3"/>
                <c:pt idx="0">
                  <c:v>FRANCHI</c:v>
                </c:pt>
                <c:pt idx="1">
                  <c:v>LUCA BOLO</c:v>
                </c:pt>
                <c:pt idx="2">
                  <c:v>SANTA</c:v>
                </c:pt>
              </c:strCache>
            </c:strRef>
          </c:cat>
          <c:val>
            <c:numRef>
              <c:f>'_Dashboard_Portieri_Data'!$D$2:$D$4</c:f>
              <c:numCache>
                <c:formatCode>General</c:formatCode>
                <c:ptCount val="3"/>
                <c:pt idx="0">
                  <c:v>2</c:v>
                </c:pt>
                <c:pt idx="1">
                  <c:v>9</c:v>
                </c:pt>
                <c:pt idx="2">
                  <c:v>12</c:v>
                </c:pt>
              </c:numCache>
            </c:numRef>
          </c:val>
        </c:ser>
        <c:ser>
          <c:idx val="1"/>
          <c:order val="1"/>
          <c:tx>
            <c:v>Gol subiti</c:v>
          </c:tx>
          <c:spPr>
            <a:solidFill>
              <a:srgbClr val="ED7D31"/>
            </a:solidFill>
          </c:spPr>
          <c:cat>
            <c:strRef>
              <c:f>'_Dashboard_Portieri_Data'!$A$2:$A$4</c:f>
              <c:strCache>
                <c:ptCount val="3"/>
                <c:pt idx="0">
                  <c:v>FRANCHI</c:v>
                </c:pt>
                <c:pt idx="1">
                  <c:v>LUCA BOLO</c:v>
                </c:pt>
                <c:pt idx="2">
                  <c:v>SANTA</c:v>
                </c:pt>
              </c:strCache>
            </c:strRef>
          </c:cat>
          <c:val>
            <c:numRef>
              <c:f>'_Dashboard_Portieri_Data'!$E$2:$E$4</c:f>
              <c:numCache>
                <c:formatCode>General</c:formatCode>
                <c:ptCount val="3"/>
                <c:pt idx="0">
                  <c:v>4</c:v>
                </c:pt>
                <c:pt idx="1">
                  <c:v>54</c:v>
                </c:pt>
                <c:pt idx="2">
                  <c:v>82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Valutazione Portieri (Indice 0-100)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Indice 0-100</c:v>
          </c:tx>
          <c:spPr>
            <a:solidFill>
              <a:srgbClr val="A5A5A5"/>
            </a:solidFill>
          </c:spPr>
          <c:cat>
            <c:strRef>
              <c:f>'_Dashboard_Portieri_Data'!$A$26:$A$28</c:f>
              <c:strCache>
                <c:ptCount val="3"/>
                <c:pt idx="0">
                  <c:v>FRANCHI</c:v>
                </c:pt>
                <c:pt idx="1">
                  <c:v>SANTA</c:v>
                </c:pt>
                <c:pt idx="2">
                  <c:v>LUCA BOLO</c:v>
                </c:pt>
              </c:strCache>
            </c:strRef>
          </c:cat>
          <c:val>
            <c:numRef>
              <c:f>'_Dashboard_Portieri_Data'!$B$26:$B$28</c:f>
              <c:numCache>
                <c:formatCode>General</c:formatCode>
                <c:ptCount val="3"/>
                <c:pt idx="0">
                  <c:v>100</c:v>
                </c:pt>
                <c:pt idx="1">
                  <c:v>82.31999999999999</c:v>
                </c:pt>
                <c:pt idx="2">
                  <c:v>0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l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b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Produzione offensiva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Giocatore A</c:v>
          </c:tx>
          <c:spPr>
            <a:solidFill>
              <a:srgbClr val="5B9BD5"/>
            </a:solidFill>
          </c:spPr>
          <c:cat>
            <c:strRef>
              <c:f>'Confronto_Giocatori'!$F$10:$F$12</c:f>
              <c:strCache>
                <c:ptCount val="3"/>
                <c:pt idx="0">
                  <c:v>Gol</c:v>
                </c:pt>
                <c:pt idx="1">
                  <c:v>Assist</c:v>
                </c:pt>
                <c:pt idx="2">
                  <c:v>Tiri</c:v>
                </c:pt>
              </c:strCache>
            </c:strRef>
          </c:cat>
          <c:val>
            <c:numRef>
              <c:f>'Confronto_Giocatori'!$G$10:$G$12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Giocatore B</c:v>
          </c:tx>
          <c:spPr>
            <a:solidFill>
              <a:srgbClr val="ED7D31"/>
            </a:solidFill>
          </c:spPr>
          <c:cat>
            <c:strRef>
              <c:f>'Confronto_Giocatori'!$F$10:$F$12</c:f>
              <c:strCache>
                <c:ptCount val="3"/>
                <c:pt idx="0">
                  <c:v>Gol</c:v>
                </c:pt>
                <c:pt idx="1">
                  <c:v>Assist</c:v>
                </c:pt>
                <c:pt idx="2">
                  <c:v>Tiri</c:v>
                </c:pt>
              </c:strCache>
            </c:strRef>
          </c:cat>
          <c:val>
            <c:numRef>
              <c:f>'Confronto_Giocatori'!$H$10:$H$12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Confronto portieri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Portiere A</c:v>
          </c:tx>
          <c:spPr>
            <a:solidFill>
              <a:srgbClr val="5B9BD5"/>
            </a:solidFill>
          </c:spPr>
          <c:cat>
            <c:strRef>
              <c:f>'Confronto_Giocatori'!$F$60:$F$62</c:f>
              <c:strCache>
                <c:ptCount val="3"/>
                <c:pt idx="0">
                  <c:v>Parate</c:v>
                </c:pt>
                <c:pt idx="1">
                  <c:v>Gol subiti</c:v>
                </c:pt>
                <c:pt idx="2">
                  <c:v>Indice 0-100</c:v>
                </c:pt>
              </c:strCache>
            </c:strRef>
          </c:cat>
          <c:val>
            <c:numRef>
              <c:f>'Confronto_Giocatori'!$G$60:$G$62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Portiere B</c:v>
          </c:tx>
          <c:spPr>
            <a:solidFill>
              <a:srgbClr val="ED7D31"/>
            </a:solidFill>
          </c:spPr>
          <c:cat>
            <c:strRef>
              <c:f>'Confronto_Giocatori'!$F$60:$F$62</c:f>
              <c:strCache>
                <c:ptCount val="3"/>
                <c:pt idx="0">
                  <c:v>Parate</c:v>
                </c:pt>
                <c:pt idx="1">
                  <c:v>Gol subiti</c:v>
                </c:pt>
                <c:pt idx="2">
                  <c:v>Indice 0-100</c:v>
                </c:pt>
              </c:strCache>
            </c:strRef>
          </c:cat>
          <c:val>
            <c:numRef>
              <c:f>'Confronto_Giocatori'!$H$60:$H$62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5" Type="http://schemas.openxmlformats.org/officeDocument/2006/relationships/chart" Target="../charts/chart1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5</xdr:col>
      <xdr:colOff>314325</xdr:colOff>
      <xdr:row>32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12</xdr:col>
      <xdr:colOff>581025</xdr:colOff>
      <xdr:row>32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5</xdr:col>
      <xdr:colOff>314325</xdr:colOff>
      <xdr:row>50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13</xdr:col>
      <xdr:colOff>514350</xdr:colOff>
      <xdr:row>53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7</xdr:col>
      <xdr:colOff>638175</xdr:colOff>
      <xdr:row>71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4</xdr:col>
      <xdr:colOff>800100</xdr:colOff>
      <xdr:row>46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9</xdr:col>
      <xdr:colOff>800100</xdr:colOff>
      <xdr:row>46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31</xdr:row>
      <xdr:rowOff>0</xdr:rowOff>
    </xdr:from>
    <xdr:to>
      <xdr:col>16</xdr:col>
      <xdr:colOff>85725</xdr:colOff>
      <xdr:row>46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5</xdr:col>
      <xdr:colOff>142875</xdr:colOff>
      <xdr:row>66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49</xdr:row>
      <xdr:rowOff>0</xdr:rowOff>
    </xdr:from>
    <xdr:to>
      <xdr:col>10</xdr:col>
      <xdr:colOff>800100</xdr:colOff>
      <xdr:row>66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49</xdr:row>
      <xdr:rowOff>0</xdr:rowOff>
    </xdr:from>
    <xdr:to>
      <xdr:col>17</xdr:col>
      <xdr:colOff>133350</xdr:colOff>
      <xdr:row>66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4</xdr:col>
      <xdr:colOff>800100</xdr:colOff>
      <xdr:row>42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9</xdr:col>
      <xdr:colOff>800100</xdr:colOff>
      <xdr:row>42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17</xdr:col>
      <xdr:colOff>304800</xdr:colOff>
      <xdr:row>42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5</xdr:col>
      <xdr:colOff>142875</xdr:colOff>
      <xdr:row>61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13</xdr:col>
      <xdr:colOff>85725</xdr:colOff>
      <xdr:row>61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11</xdr:col>
      <xdr:colOff>171450</xdr:colOff>
      <xdr:row>27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74</xdr:row>
      <xdr:rowOff>0</xdr:rowOff>
    </xdr:from>
    <xdr:to>
      <xdr:col>11</xdr:col>
      <xdr:colOff>171450</xdr:colOff>
      <xdr:row>88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cols>
    <col min="1" max="1" width="18.7109375" customWidth="1"/>
    <col min="2" max="13" width="14.7109375" customWidth="1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spans="1:14">
      <c r="A5" s="4">
        <v>18</v>
      </c>
      <c r="B5" s="4"/>
      <c r="C5" s="4">
        <v>13</v>
      </c>
      <c r="D5" s="4"/>
      <c r="E5" s="4">
        <v>1</v>
      </c>
      <c r="F5" s="4"/>
      <c r="G5" s="4">
        <v>4</v>
      </c>
      <c r="H5" s="4"/>
    </row>
    <row r="6" spans="1:14">
      <c r="A6" s="3" t="s">
        <v>6</v>
      </c>
      <c r="B6" s="3"/>
      <c r="C6" s="3" t="s">
        <v>7</v>
      </c>
      <c r="D6" s="3"/>
      <c r="E6" s="3" t="s">
        <v>8</v>
      </c>
      <c r="F6" s="3"/>
      <c r="G6" s="3" t="s">
        <v>9</v>
      </c>
      <c r="H6" s="3"/>
    </row>
    <row r="7" spans="1:14">
      <c r="A7" s="4">
        <v>232</v>
      </c>
      <c r="B7" s="4"/>
      <c r="C7" s="4">
        <v>182</v>
      </c>
      <c r="D7" s="4"/>
      <c r="E7" s="4">
        <v>50</v>
      </c>
      <c r="F7" s="4"/>
      <c r="G7" s="5">
        <v>12.88888888888889</v>
      </c>
      <c r="H7" s="5"/>
    </row>
    <row r="8" spans="1:14">
      <c r="A8" s="3" t="s">
        <v>10</v>
      </c>
      <c r="B8" s="3"/>
    </row>
    <row r="9" spans="1:14">
      <c r="A9" s="5">
        <v>10.11111111111111</v>
      </c>
      <c r="B9" s="5"/>
    </row>
    <row r="11" spans="1:14">
      <c r="A11" s="6" t="s">
        <v>11</v>
      </c>
      <c r="I11" s="6" t="s">
        <v>22</v>
      </c>
    </row>
    <row r="12" spans="1:14">
      <c r="A12" s="7" t="s">
        <v>12</v>
      </c>
      <c r="B12" s="7" t="s">
        <v>2</v>
      </c>
      <c r="C12" s="7" t="s">
        <v>13</v>
      </c>
      <c r="D12" s="7" t="s">
        <v>14</v>
      </c>
      <c r="E12" s="7" t="s">
        <v>15</v>
      </c>
      <c r="F12" s="7" t="s">
        <v>16</v>
      </c>
      <c r="G12" s="7" t="s">
        <v>17</v>
      </c>
      <c r="I12" s="7" t="s">
        <v>23</v>
      </c>
      <c r="J12" s="7" t="s">
        <v>24</v>
      </c>
      <c r="K12" s="7" t="s">
        <v>25</v>
      </c>
      <c r="L12" s="7" t="s">
        <v>26</v>
      </c>
      <c r="M12" s="7" t="s">
        <v>27</v>
      </c>
      <c r="N12" s="7" t="s">
        <v>28</v>
      </c>
    </row>
    <row r="13" spans="1:14">
      <c r="A13" t="s">
        <v>18</v>
      </c>
      <c r="B13">
        <v>9</v>
      </c>
      <c r="C13">
        <v>6</v>
      </c>
      <c r="D13">
        <v>0</v>
      </c>
      <c r="E13">
        <v>3</v>
      </c>
      <c r="F13">
        <v>112</v>
      </c>
      <c r="G13">
        <v>92</v>
      </c>
      <c r="I13">
        <v>1</v>
      </c>
      <c r="J13" t="s">
        <v>29</v>
      </c>
      <c r="K13" t="s">
        <v>30</v>
      </c>
      <c r="L13" t="s">
        <v>18</v>
      </c>
      <c r="M13">
        <v>13</v>
      </c>
      <c r="N13">
        <v>10</v>
      </c>
    </row>
    <row r="14" spans="1:14">
      <c r="A14" t="s">
        <v>19</v>
      </c>
      <c r="B14">
        <v>9</v>
      </c>
      <c r="C14">
        <v>7</v>
      </c>
      <c r="D14">
        <v>1</v>
      </c>
      <c r="E14">
        <v>1</v>
      </c>
      <c r="F14">
        <v>120</v>
      </c>
      <c r="G14">
        <v>90</v>
      </c>
      <c r="I14">
        <v>12</v>
      </c>
      <c r="J14" t="s">
        <v>31</v>
      </c>
      <c r="K14" t="s">
        <v>32</v>
      </c>
      <c r="L14" t="s">
        <v>19</v>
      </c>
      <c r="M14">
        <v>8</v>
      </c>
      <c r="N14">
        <v>8</v>
      </c>
    </row>
    <row r="15" spans="1:14">
      <c r="A15" t="s">
        <v>20</v>
      </c>
      <c r="B15">
        <v>9</v>
      </c>
      <c r="C15">
        <v>5</v>
      </c>
      <c r="D15">
        <v>0</v>
      </c>
      <c r="E15">
        <v>4</v>
      </c>
      <c r="F15">
        <v>103</v>
      </c>
      <c r="G15">
        <v>97</v>
      </c>
    </row>
    <row r="16" spans="1:14">
      <c r="A16" t="s">
        <v>21</v>
      </c>
      <c r="B16">
        <v>9</v>
      </c>
      <c r="C16">
        <v>8</v>
      </c>
      <c r="D16">
        <v>1</v>
      </c>
      <c r="E16">
        <v>0</v>
      </c>
      <c r="F16">
        <v>129</v>
      </c>
      <c r="G16">
        <v>85</v>
      </c>
    </row>
    <row r="72" spans="1:1">
      <c r="A72" s="6" t="s">
        <v>52</v>
      </c>
    </row>
    <row r="73" spans="1:1">
      <c r="A73" s="8" t="s">
        <v>53</v>
      </c>
    </row>
    <row r="74" spans="1:1">
      <c r="A74" s="8" t="s">
        <v>54</v>
      </c>
    </row>
  </sheetData>
  <mergeCells count="18">
    <mergeCell ref="A4:B4"/>
    <mergeCell ref="A5:B5"/>
    <mergeCell ref="C4:D4"/>
    <mergeCell ref="C5:D5"/>
    <mergeCell ref="E4:F4"/>
    <mergeCell ref="E5:F5"/>
    <mergeCell ref="G4:H4"/>
    <mergeCell ref="G5:H5"/>
    <mergeCell ref="A6:B6"/>
    <mergeCell ref="A7:B7"/>
    <mergeCell ref="C6:D6"/>
    <mergeCell ref="C7:D7"/>
    <mergeCell ref="E6:F6"/>
    <mergeCell ref="E7:F7"/>
    <mergeCell ref="G6:H6"/>
    <mergeCell ref="G7:H7"/>
    <mergeCell ref="A8:B8"/>
    <mergeCell ref="A9:B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sheetData>
    <row r="1" spans="1:3">
      <c r="A1" s="9" t="s">
        <v>23</v>
      </c>
      <c r="B1" s="9" t="s">
        <v>16</v>
      </c>
      <c r="C1" s="9" t="s">
        <v>17</v>
      </c>
    </row>
    <row r="2" spans="1:3">
      <c r="A2">
        <v>1</v>
      </c>
      <c r="B2">
        <v>13</v>
      </c>
      <c r="C2">
        <v>10</v>
      </c>
    </row>
    <row r="3" spans="1:3">
      <c r="A3">
        <v>2</v>
      </c>
      <c r="B3">
        <v>14</v>
      </c>
      <c r="C3">
        <v>11</v>
      </c>
    </row>
    <row r="4" spans="1:3">
      <c r="A4">
        <v>3</v>
      </c>
      <c r="B4">
        <v>15</v>
      </c>
      <c r="C4">
        <v>10</v>
      </c>
    </row>
    <row r="5" spans="1:3">
      <c r="A5">
        <v>4</v>
      </c>
      <c r="B5">
        <v>13</v>
      </c>
      <c r="C5">
        <v>10</v>
      </c>
    </row>
    <row r="6" spans="1:3">
      <c r="A6">
        <v>5</v>
      </c>
      <c r="B6">
        <v>11</v>
      </c>
      <c r="C6">
        <v>13</v>
      </c>
    </row>
    <row r="7" spans="1:3">
      <c r="A7">
        <v>6</v>
      </c>
      <c r="B7">
        <v>7</v>
      </c>
      <c r="C7">
        <v>13</v>
      </c>
    </row>
    <row r="8" spans="1:3">
      <c r="A8">
        <v>7</v>
      </c>
      <c r="B8">
        <v>10</v>
      </c>
      <c r="C8">
        <v>11</v>
      </c>
    </row>
    <row r="9" spans="1:3">
      <c r="A9">
        <v>8</v>
      </c>
      <c r="B9">
        <v>12</v>
      </c>
      <c r="C9">
        <v>9</v>
      </c>
    </row>
    <row r="10" spans="1:3">
      <c r="A10">
        <v>9</v>
      </c>
      <c r="B10">
        <v>8</v>
      </c>
      <c r="C10">
        <v>10</v>
      </c>
    </row>
    <row r="11" spans="1:3">
      <c r="A11">
        <v>10</v>
      </c>
      <c r="B11">
        <v>23</v>
      </c>
      <c r="C11">
        <v>8</v>
      </c>
    </row>
    <row r="12" spans="1:3">
      <c r="A12">
        <v>11</v>
      </c>
      <c r="B12">
        <v>16</v>
      </c>
      <c r="C12">
        <v>12</v>
      </c>
    </row>
    <row r="13" spans="1:3">
      <c r="A13">
        <v>12</v>
      </c>
      <c r="B13">
        <v>8</v>
      </c>
      <c r="C13">
        <v>8</v>
      </c>
    </row>
    <row r="14" spans="1:3">
      <c r="A14">
        <v>13</v>
      </c>
      <c r="B14">
        <v>9</v>
      </c>
      <c r="C14">
        <v>8</v>
      </c>
    </row>
    <row r="15" spans="1:3">
      <c r="A15">
        <v>14</v>
      </c>
      <c r="B15">
        <v>15</v>
      </c>
      <c r="C15">
        <v>11</v>
      </c>
    </row>
    <row r="16" spans="1:3">
      <c r="A16">
        <v>15</v>
      </c>
      <c r="B16">
        <v>16</v>
      </c>
      <c r="C16">
        <v>8</v>
      </c>
    </row>
    <row r="17" spans="1:7">
      <c r="A17">
        <v>16</v>
      </c>
      <c r="B17">
        <v>13</v>
      </c>
      <c r="C17">
        <v>12</v>
      </c>
    </row>
    <row r="18" spans="1:7">
      <c r="A18">
        <v>17</v>
      </c>
      <c r="B18">
        <v>14</v>
      </c>
      <c r="C18">
        <v>10</v>
      </c>
    </row>
    <row r="19" spans="1:7">
      <c r="A19">
        <v>18</v>
      </c>
      <c r="B19">
        <v>15</v>
      </c>
      <c r="C19">
        <v>8</v>
      </c>
    </row>
    <row r="22" spans="1:7">
      <c r="A22" s="9" t="s">
        <v>12</v>
      </c>
      <c r="B22" s="9" t="s">
        <v>2</v>
      </c>
      <c r="C22" s="9" t="s">
        <v>13</v>
      </c>
      <c r="D22" s="9" t="s">
        <v>14</v>
      </c>
      <c r="E22" s="9" t="s">
        <v>15</v>
      </c>
      <c r="F22" s="9" t="s">
        <v>16</v>
      </c>
      <c r="G22" s="9" t="s">
        <v>17</v>
      </c>
    </row>
    <row r="23" spans="1:7">
      <c r="A23" t="s">
        <v>18</v>
      </c>
      <c r="B23">
        <v>9</v>
      </c>
      <c r="C23">
        <v>6</v>
      </c>
      <c r="D23">
        <v>0</v>
      </c>
      <c r="E23">
        <v>3</v>
      </c>
      <c r="F23">
        <v>112</v>
      </c>
      <c r="G23">
        <v>92</v>
      </c>
    </row>
    <row r="24" spans="1:7">
      <c r="A24" t="s">
        <v>19</v>
      </c>
      <c r="B24">
        <v>9</v>
      </c>
      <c r="C24">
        <v>7</v>
      </c>
      <c r="D24">
        <v>1</v>
      </c>
      <c r="E24">
        <v>1</v>
      </c>
      <c r="F24">
        <v>120</v>
      </c>
      <c r="G24">
        <v>90</v>
      </c>
    </row>
    <row r="25" spans="1:7">
      <c r="A25" t="s">
        <v>20</v>
      </c>
      <c r="B25">
        <v>9</v>
      </c>
      <c r="C25">
        <v>5</v>
      </c>
      <c r="D25">
        <v>0</v>
      </c>
      <c r="E25">
        <v>4</v>
      </c>
      <c r="F25">
        <v>103</v>
      </c>
      <c r="G25">
        <v>97</v>
      </c>
    </row>
    <row r="26" spans="1:7">
      <c r="A26" t="s">
        <v>21</v>
      </c>
      <c r="B26">
        <v>9</v>
      </c>
      <c r="C26">
        <v>8</v>
      </c>
      <c r="D26">
        <v>1</v>
      </c>
      <c r="E26">
        <v>0</v>
      </c>
      <c r="F26">
        <v>129</v>
      </c>
      <c r="G26">
        <v>85</v>
      </c>
    </row>
    <row r="29" spans="1:7">
      <c r="A29" s="9" t="s">
        <v>33</v>
      </c>
      <c r="B29" s="9" t="s">
        <v>34</v>
      </c>
      <c r="C29" s="9" t="s">
        <v>35</v>
      </c>
    </row>
    <row r="30" spans="1:7">
      <c r="A30" t="s">
        <v>36</v>
      </c>
      <c r="B30">
        <v>36</v>
      </c>
      <c r="C30">
        <v>22</v>
      </c>
    </row>
    <row r="31" spans="1:7">
      <c r="A31" t="s">
        <v>37</v>
      </c>
      <c r="B31">
        <v>36</v>
      </c>
      <c r="C31">
        <v>28</v>
      </c>
    </row>
    <row r="32" spans="1:7">
      <c r="A32" t="s">
        <v>38</v>
      </c>
      <c r="B32">
        <v>41</v>
      </c>
      <c r="C32">
        <v>26</v>
      </c>
    </row>
    <row r="33" spans="1:10">
      <c r="A33" t="s">
        <v>39</v>
      </c>
      <c r="B33">
        <v>37</v>
      </c>
      <c r="C33">
        <v>30</v>
      </c>
    </row>
    <row r="36" spans="1:10">
      <c r="A36" s="9" t="s">
        <v>40</v>
      </c>
      <c r="B36" s="9" t="s">
        <v>41</v>
      </c>
      <c r="C36" s="9" t="s">
        <v>2</v>
      </c>
      <c r="D36" s="9" t="s">
        <v>13</v>
      </c>
      <c r="E36" s="9" t="s">
        <v>14</v>
      </c>
      <c r="F36" s="9" t="s">
        <v>15</v>
      </c>
      <c r="G36" s="9" t="s">
        <v>16</v>
      </c>
      <c r="H36" s="9" t="s">
        <v>17</v>
      </c>
      <c r="I36" s="9" t="s">
        <v>42</v>
      </c>
      <c r="J36" s="9" t="s">
        <v>43</v>
      </c>
    </row>
    <row r="37" spans="1:10">
      <c r="A37">
        <v>1</v>
      </c>
      <c r="B37" t="s">
        <v>44</v>
      </c>
      <c r="C37">
        <v>18</v>
      </c>
      <c r="D37">
        <v>14</v>
      </c>
      <c r="E37">
        <v>1</v>
      </c>
      <c r="F37">
        <v>3</v>
      </c>
      <c r="G37">
        <v>266</v>
      </c>
      <c r="H37">
        <v>163</v>
      </c>
      <c r="I37">
        <v>103</v>
      </c>
      <c r="J37">
        <v>43</v>
      </c>
    </row>
    <row r="38" spans="1:10">
      <c r="A38">
        <v>2</v>
      </c>
      <c r="B38" t="s">
        <v>45</v>
      </c>
      <c r="C38">
        <v>18</v>
      </c>
      <c r="D38">
        <v>13</v>
      </c>
      <c r="E38">
        <v>2</v>
      </c>
      <c r="F38">
        <v>3</v>
      </c>
      <c r="G38">
        <v>251</v>
      </c>
      <c r="H38">
        <v>200</v>
      </c>
      <c r="I38">
        <v>51</v>
      </c>
      <c r="J38">
        <v>41</v>
      </c>
    </row>
    <row r="39" spans="1:10">
      <c r="A39">
        <v>3</v>
      </c>
      <c r="B39" t="s">
        <v>46</v>
      </c>
      <c r="C39">
        <v>18</v>
      </c>
      <c r="D39">
        <v>13</v>
      </c>
      <c r="E39">
        <v>1</v>
      </c>
      <c r="F39">
        <v>4</v>
      </c>
      <c r="G39">
        <v>232</v>
      </c>
      <c r="H39">
        <v>182</v>
      </c>
      <c r="I39">
        <v>50</v>
      </c>
      <c r="J39">
        <v>40</v>
      </c>
    </row>
    <row r="40" spans="1:10">
      <c r="A40">
        <v>4</v>
      </c>
      <c r="B40" t="s">
        <v>47</v>
      </c>
      <c r="C40">
        <v>18</v>
      </c>
      <c r="D40">
        <v>11</v>
      </c>
      <c r="E40">
        <v>1</v>
      </c>
      <c r="F40">
        <v>6</v>
      </c>
      <c r="G40">
        <v>240</v>
      </c>
      <c r="H40">
        <v>206</v>
      </c>
      <c r="I40">
        <v>34</v>
      </c>
      <c r="J40">
        <v>34</v>
      </c>
    </row>
    <row r="41" spans="1:10">
      <c r="A41">
        <v>5</v>
      </c>
      <c r="B41" t="s">
        <v>48</v>
      </c>
      <c r="C41">
        <v>18</v>
      </c>
      <c r="D41">
        <v>10</v>
      </c>
      <c r="E41">
        <v>1</v>
      </c>
      <c r="F41">
        <v>7</v>
      </c>
      <c r="G41">
        <v>209</v>
      </c>
      <c r="H41">
        <v>205</v>
      </c>
      <c r="I41">
        <v>4</v>
      </c>
      <c r="J41">
        <v>31</v>
      </c>
    </row>
    <row r="42" spans="1:10">
      <c r="A42">
        <v>6</v>
      </c>
      <c r="B42" t="s">
        <v>49</v>
      </c>
      <c r="C42">
        <v>18</v>
      </c>
      <c r="D42">
        <v>8</v>
      </c>
      <c r="E42">
        <v>3</v>
      </c>
      <c r="F42">
        <v>7</v>
      </c>
      <c r="G42">
        <v>233</v>
      </c>
      <c r="H42">
        <v>205</v>
      </c>
      <c r="I42">
        <v>28</v>
      </c>
      <c r="J42">
        <v>27</v>
      </c>
    </row>
    <row r="43" spans="1:10">
      <c r="A43">
        <v>7</v>
      </c>
      <c r="B43" t="s">
        <v>50</v>
      </c>
      <c r="C43">
        <v>18</v>
      </c>
      <c r="D43">
        <v>4</v>
      </c>
      <c r="E43">
        <v>2</v>
      </c>
      <c r="F43">
        <v>12</v>
      </c>
      <c r="G43">
        <v>203</v>
      </c>
      <c r="H43">
        <v>245</v>
      </c>
      <c r="I43">
        <v>-42</v>
      </c>
      <c r="J43">
        <v>14</v>
      </c>
    </row>
    <row r="44" spans="1:10">
      <c r="A44">
        <v>8</v>
      </c>
      <c r="B44" t="s">
        <v>32</v>
      </c>
      <c r="C44">
        <v>18</v>
      </c>
      <c r="D44">
        <v>4</v>
      </c>
      <c r="E44">
        <v>2</v>
      </c>
      <c r="F44">
        <v>12</v>
      </c>
      <c r="G44">
        <v>161</v>
      </c>
      <c r="H44">
        <v>214</v>
      </c>
      <c r="I44">
        <v>-53</v>
      </c>
      <c r="J44">
        <v>14</v>
      </c>
    </row>
    <row r="45" spans="1:10">
      <c r="A45">
        <v>9</v>
      </c>
      <c r="B45" t="s">
        <v>51</v>
      </c>
      <c r="C45">
        <v>18</v>
      </c>
      <c r="D45">
        <v>4</v>
      </c>
      <c r="E45">
        <v>1</v>
      </c>
      <c r="F45">
        <v>13</v>
      </c>
      <c r="G45">
        <v>199</v>
      </c>
      <c r="H45">
        <v>275</v>
      </c>
      <c r="I45">
        <v>-76</v>
      </c>
      <c r="J45">
        <v>13</v>
      </c>
    </row>
    <row r="46" spans="1:10">
      <c r="A46">
        <v>10</v>
      </c>
      <c r="B46" t="s">
        <v>30</v>
      </c>
      <c r="C46">
        <v>18</v>
      </c>
      <c r="D46">
        <v>2</v>
      </c>
      <c r="E46">
        <v>0</v>
      </c>
      <c r="F46">
        <v>16</v>
      </c>
      <c r="G46">
        <v>190</v>
      </c>
      <c r="H46">
        <v>289</v>
      </c>
      <c r="I46">
        <v>-99</v>
      </c>
      <c r="J46">
        <v>6</v>
      </c>
    </row>
    <row r="49" spans="1:6">
      <c r="A49" s="9" t="s">
        <v>23</v>
      </c>
      <c r="B49" s="9" t="s">
        <v>45</v>
      </c>
      <c r="C49" s="9" t="s">
        <v>47</v>
      </c>
      <c r="D49" s="9" t="s">
        <v>44</v>
      </c>
      <c r="E49" s="9" t="s">
        <v>46</v>
      </c>
      <c r="F49" s="9" t="s">
        <v>48</v>
      </c>
    </row>
    <row r="50" spans="1:6">
      <c r="A50">
        <v>1</v>
      </c>
      <c r="B50">
        <v>0</v>
      </c>
      <c r="C50">
        <v>3</v>
      </c>
      <c r="D50">
        <v>3</v>
      </c>
      <c r="E50">
        <v>3</v>
      </c>
      <c r="F50">
        <v>3</v>
      </c>
    </row>
    <row r="51" spans="1:6">
      <c r="A51">
        <v>2</v>
      </c>
      <c r="B51">
        <v>3</v>
      </c>
      <c r="C51">
        <v>6</v>
      </c>
      <c r="D51">
        <v>6</v>
      </c>
      <c r="E51">
        <v>6</v>
      </c>
      <c r="F51">
        <v>6</v>
      </c>
    </row>
    <row r="52" spans="1:6">
      <c r="A52">
        <v>3</v>
      </c>
      <c r="B52">
        <v>4</v>
      </c>
      <c r="C52">
        <v>6</v>
      </c>
      <c r="D52">
        <v>9</v>
      </c>
      <c r="E52">
        <v>9</v>
      </c>
      <c r="F52">
        <v>9</v>
      </c>
    </row>
    <row r="53" spans="1:6">
      <c r="A53">
        <v>4</v>
      </c>
      <c r="B53">
        <v>4</v>
      </c>
      <c r="C53">
        <v>6</v>
      </c>
      <c r="D53">
        <v>12</v>
      </c>
      <c r="E53">
        <v>12</v>
      </c>
      <c r="F53">
        <v>12</v>
      </c>
    </row>
    <row r="54" spans="1:6">
      <c r="A54">
        <v>5</v>
      </c>
      <c r="B54">
        <v>7</v>
      </c>
      <c r="C54">
        <v>9</v>
      </c>
      <c r="D54">
        <v>15</v>
      </c>
      <c r="E54">
        <v>12</v>
      </c>
      <c r="F54">
        <v>12</v>
      </c>
    </row>
    <row r="55" spans="1:6">
      <c r="A55">
        <v>6</v>
      </c>
      <c r="B55">
        <v>10</v>
      </c>
      <c r="C55">
        <v>12</v>
      </c>
      <c r="D55">
        <v>18</v>
      </c>
      <c r="E55">
        <v>12</v>
      </c>
      <c r="F55">
        <v>15</v>
      </c>
    </row>
    <row r="56" spans="1:6">
      <c r="A56">
        <v>7</v>
      </c>
      <c r="B56">
        <v>13</v>
      </c>
      <c r="C56">
        <v>15</v>
      </c>
      <c r="D56">
        <v>21</v>
      </c>
      <c r="E56">
        <v>12</v>
      </c>
      <c r="F56">
        <v>15</v>
      </c>
    </row>
    <row r="57" spans="1:6">
      <c r="A57">
        <v>8</v>
      </c>
      <c r="B57">
        <v>16</v>
      </c>
      <c r="C57">
        <v>18</v>
      </c>
      <c r="D57">
        <v>24</v>
      </c>
      <c r="E57">
        <v>15</v>
      </c>
      <c r="F57">
        <v>15</v>
      </c>
    </row>
    <row r="58" spans="1:6">
      <c r="A58">
        <v>9</v>
      </c>
      <c r="B58">
        <v>17</v>
      </c>
      <c r="C58">
        <v>21</v>
      </c>
      <c r="D58">
        <v>25</v>
      </c>
      <c r="E58">
        <v>15</v>
      </c>
      <c r="F58">
        <v>18</v>
      </c>
    </row>
    <row r="59" spans="1:6">
      <c r="A59">
        <v>10</v>
      </c>
      <c r="B59">
        <v>20</v>
      </c>
      <c r="C59">
        <v>21</v>
      </c>
      <c r="D59">
        <v>28</v>
      </c>
      <c r="E59">
        <v>18</v>
      </c>
      <c r="F59">
        <v>18</v>
      </c>
    </row>
    <row r="60" spans="1:6">
      <c r="A60">
        <v>11</v>
      </c>
      <c r="B60">
        <v>23</v>
      </c>
      <c r="C60">
        <v>24</v>
      </c>
      <c r="D60">
        <v>28</v>
      </c>
      <c r="E60">
        <v>21</v>
      </c>
      <c r="F60">
        <v>21</v>
      </c>
    </row>
    <row r="61" spans="1:6">
      <c r="A61">
        <v>12</v>
      </c>
      <c r="B61">
        <v>26</v>
      </c>
      <c r="C61">
        <v>24</v>
      </c>
      <c r="D61">
        <v>31</v>
      </c>
      <c r="E61">
        <v>22</v>
      </c>
      <c r="F61">
        <v>24</v>
      </c>
    </row>
    <row r="62" spans="1:6">
      <c r="A62">
        <v>13</v>
      </c>
      <c r="B62">
        <v>29</v>
      </c>
      <c r="C62">
        <v>24</v>
      </c>
      <c r="D62">
        <v>34</v>
      </c>
      <c r="E62">
        <v>25</v>
      </c>
      <c r="F62">
        <v>27</v>
      </c>
    </row>
    <row r="63" spans="1:6">
      <c r="A63">
        <v>14</v>
      </c>
      <c r="B63">
        <v>32</v>
      </c>
      <c r="C63">
        <v>24</v>
      </c>
      <c r="D63">
        <v>37</v>
      </c>
      <c r="E63">
        <v>28</v>
      </c>
      <c r="F63">
        <v>27</v>
      </c>
    </row>
    <row r="64" spans="1:6">
      <c r="A64">
        <v>15</v>
      </c>
      <c r="B64">
        <v>35</v>
      </c>
      <c r="C64">
        <v>25</v>
      </c>
      <c r="D64">
        <v>37</v>
      </c>
      <c r="E64">
        <v>31</v>
      </c>
      <c r="F64">
        <v>28</v>
      </c>
    </row>
    <row r="65" spans="1:6">
      <c r="A65">
        <v>16</v>
      </c>
      <c r="B65">
        <v>35</v>
      </c>
      <c r="C65">
        <v>28</v>
      </c>
      <c r="D65">
        <v>40</v>
      </c>
      <c r="E65">
        <v>34</v>
      </c>
      <c r="F65">
        <v>31</v>
      </c>
    </row>
    <row r="66" spans="1:6">
      <c r="A66">
        <v>17</v>
      </c>
      <c r="B66">
        <v>38</v>
      </c>
      <c r="C66">
        <v>31</v>
      </c>
      <c r="D66">
        <v>43</v>
      </c>
      <c r="E66">
        <v>37</v>
      </c>
      <c r="F66">
        <v>31</v>
      </c>
    </row>
    <row r="67" spans="1:6">
      <c r="A67">
        <v>18</v>
      </c>
      <c r="B67">
        <v>41</v>
      </c>
      <c r="C67">
        <v>34</v>
      </c>
      <c r="D67">
        <v>43</v>
      </c>
      <c r="E67">
        <v>40</v>
      </c>
      <c r="F67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70"/>
  <sheetViews>
    <sheetView workbookViewId="0"/>
  </sheetViews>
  <sheetFormatPr defaultRowHeight="15"/>
  <cols>
    <col min="1" max="13" width="16.7109375" customWidth="1"/>
  </cols>
  <sheetData>
    <row r="1" spans="1:13">
      <c r="A1" s="1" t="s">
        <v>55</v>
      </c>
    </row>
    <row r="2" spans="1:13">
      <c r="A2" s="2" t="s">
        <v>56</v>
      </c>
    </row>
    <row r="4" spans="1:13">
      <c r="A4" s="6" t="s">
        <v>93</v>
      </c>
      <c r="F4" s="6" t="s">
        <v>94</v>
      </c>
      <c r="J4" s="6" t="s">
        <v>95</v>
      </c>
    </row>
    <row r="5" spans="1:13">
      <c r="A5" s="7" t="s">
        <v>57</v>
      </c>
      <c r="B5" s="7" t="s">
        <v>58</v>
      </c>
      <c r="F5" s="7" t="s">
        <v>57</v>
      </c>
      <c r="G5" s="7" t="s">
        <v>67</v>
      </c>
      <c r="J5" s="7" t="s">
        <v>57</v>
      </c>
      <c r="K5" s="7" t="s">
        <v>90</v>
      </c>
      <c r="L5" s="7" t="s">
        <v>91</v>
      </c>
      <c r="M5" s="7" t="s">
        <v>92</v>
      </c>
    </row>
    <row r="6" spans="1:13">
      <c r="A6" t="s">
        <v>59</v>
      </c>
      <c r="B6">
        <v>57</v>
      </c>
      <c r="F6" t="s">
        <v>68</v>
      </c>
      <c r="G6">
        <v>20</v>
      </c>
      <c r="J6" t="s">
        <v>59</v>
      </c>
      <c r="K6">
        <v>0.500387</v>
      </c>
      <c r="L6">
        <v>0.483051</v>
      </c>
      <c r="M6">
        <v>118</v>
      </c>
    </row>
    <row r="7" spans="1:13">
      <c r="A7" t="s">
        <v>60</v>
      </c>
      <c r="B7">
        <v>36</v>
      </c>
      <c r="F7" t="s">
        <v>60</v>
      </c>
      <c r="G7">
        <v>19</v>
      </c>
      <c r="J7" t="s">
        <v>62</v>
      </c>
      <c r="K7">
        <v>0.458333</v>
      </c>
      <c r="L7">
        <v>0.575758</v>
      </c>
      <c r="M7">
        <v>33</v>
      </c>
    </row>
    <row r="8" spans="1:13">
      <c r="A8" t="s">
        <v>61</v>
      </c>
      <c r="B8">
        <v>22</v>
      </c>
      <c r="F8" t="s">
        <v>63</v>
      </c>
      <c r="G8">
        <v>17</v>
      </c>
      <c r="J8" t="s">
        <v>60</v>
      </c>
      <c r="K8">
        <v>0.401337</v>
      </c>
      <c r="L8">
        <v>0.423529</v>
      </c>
      <c r="M8">
        <v>85</v>
      </c>
    </row>
    <row r="9" spans="1:13">
      <c r="A9" t="s">
        <v>62</v>
      </c>
      <c r="B9">
        <v>19</v>
      </c>
      <c r="F9" t="s">
        <v>69</v>
      </c>
      <c r="G9">
        <v>14</v>
      </c>
      <c r="J9" t="s">
        <v>63</v>
      </c>
      <c r="K9">
        <v>0.391026</v>
      </c>
      <c r="L9">
        <v>0.484848</v>
      </c>
      <c r="M9">
        <v>33</v>
      </c>
    </row>
    <row r="10" spans="1:13">
      <c r="A10" t="s">
        <v>63</v>
      </c>
      <c r="B10">
        <v>16</v>
      </c>
      <c r="F10" t="s">
        <v>70</v>
      </c>
      <c r="G10">
        <v>14</v>
      </c>
      <c r="J10" t="s">
        <v>61</v>
      </c>
      <c r="K10">
        <v>0.382143</v>
      </c>
      <c r="L10">
        <v>0.431373</v>
      </c>
      <c r="M10">
        <v>51</v>
      </c>
    </row>
    <row r="11" spans="1:13">
      <c r="A11" t="s">
        <v>64</v>
      </c>
      <c r="B11">
        <v>16</v>
      </c>
      <c r="F11" t="s">
        <v>71</v>
      </c>
      <c r="G11">
        <v>12</v>
      </c>
      <c r="J11" t="s">
        <v>65</v>
      </c>
      <c r="K11">
        <v>0.373299</v>
      </c>
      <c r="L11">
        <v>0.375</v>
      </c>
      <c r="M11">
        <v>40</v>
      </c>
    </row>
    <row r="12" spans="1:13">
      <c r="A12" t="s">
        <v>65</v>
      </c>
      <c r="B12">
        <v>15</v>
      </c>
      <c r="F12" t="s">
        <v>61</v>
      </c>
      <c r="G12">
        <v>11</v>
      </c>
      <c r="J12" t="s">
        <v>66</v>
      </c>
      <c r="K12">
        <v>0.358974</v>
      </c>
      <c r="L12">
        <v>0.407407</v>
      </c>
      <c r="M12">
        <v>27</v>
      </c>
    </row>
    <row r="13" spans="1:13">
      <c r="A13" t="s">
        <v>66</v>
      </c>
      <c r="B13">
        <v>11</v>
      </c>
      <c r="F13" t="s">
        <v>65</v>
      </c>
      <c r="G13">
        <v>7</v>
      </c>
      <c r="J13" t="s">
        <v>64</v>
      </c>
      <c r="K13">
        <v>0.351361</v>
      </c>
      <c r="L13">
        <v>0.347826</v>
      </c>
      <c r="M13">
        <v>46</v>
      </c>
    </row>
    <row r="16" spans="1:13">
      <c r="A16" s="6" t="s">
        <v>96</v>
      </c>
      <c r="H16" s="6" t="s">
        <v>84</v>
      </c>
      <c r="L16" s="6" t="s">
        <v>87</v>
      </c>
    </row>
    <row r="17" spans="1:17">
      <c r="A17" s="7" t="s">
        <v>74</v>
      </c>
      <c r="B17" s="7" t="s">
        <v>75</v>
      </c>
      <c r="C17" s="7" t="s">
        <v>76</v>
      </c>
      <c r="D17" s="7" t="s">
        <v>77</v>
      </c>
      <c r="E17" s="7" t="s">
        <v>78</v>
      </c>
      <c r="F17" s="7" t="s">
        <v>79</v>
      </c>
      <c r="H17" s="7" t="s">
        <v>84</v>
      </c>
      <c r="I17" s="7" t="s">
        <v>75</v>
      </c>
      <c r="J17" s="7" t="s">
        <v>76</v>
      </c>
      <c r="K17" s="7" t="s">
        <v>77</v>
      </c>
      <c r="L17" s="7" t="s">
        <v>87</v>
      </c>
      <c r="M17" s="7" t="s">
        <v>75</v>
      </c>
      <c r="N17" s="7" t="s">
        <v>76</v>
      </c>
      <c r="O17" s="7" t="s">
        <v>77</v>
      </c>
      <c r="P17" s="7" t="s">
        <v>78</v>
      </c>
      <c r="Q17" s="7" t="s">
        <v>79</v>
      </c>
    </row>
    <row r="18" spans="1:17">
      <c r="A18" t="s">
        <v>80</v>
      </c>
      <c r="B18">
        <v>5</v>
      </c>
      <c r="C18">
        <v>30</v>
      </c>
      <c r="D18">
        <v>54</v>
      </c>
      <c r="E18">
        <v>24.82</v>
      </c>
      <c r="F18">
        <v>297.5</v>
      </c>
      <c r="H18" t="s">
        <v>85</v>
      </c>
      <c r="I18">
        <v>15</v>
      </c>
      <c r="J18">
        <v>196</v>
      </c>
      <c r="K18">
        <v>130</v>
      </c>
      <c r="L18" t="s">
        <v>88</v>
      </c>
      <c r="M18">
        <v>4</v>
      </c>
      <c r="N18">
        <v>90</v>
      </c>
      <c r="O18">
        <v>54</v>
      </c>
      <c r="P18">
        <v>65.48999999999999</v>
      </c>
      <c r="Q18">
        <v>693.5</v>
      </c>
    </row>
    <row r="19" spans="1:17">
      <c r="A19" t="s">
        <v>81</v>
      </c>
      <c r="B19">
        <v>3</v>
      </c>
      <c r="C19">
        <v>19</v>
      </c>
      <c r="D19">
        <v>22</v>
      </c>
      <c r="E19">
        <v>17.38</v>
      </c>
      <c r="F19">
        <v>116</v>
      </c>
      <c r="H19" t="s">
        <v>86</v>
      </c>
      <c r="I19">
        <v>1</v>
      </c>
      <c r="J19">
        <v>15</v>
      </c>
      <c r="K19">
        <v>7</v>
      </c>
      <c r="L19" t="s">
        <v>89</v>
      </c>
      <c r="M19">
        <v>12</v>
      </c>
      <c r="N19">
        <v>121</v>
      </c>
      <c r="O19">
        <v>83</v>
      </c>
      <c r="P19">
        <v>27.0375</v>
      </c>
      <c r="Q19">
        <v>788.5</v>
      </c>
    </row>
    <row r="20" spans="1:17">
      <c r="A20" t="s">
        <v>82</v>
      </c>
      <c r="B20">
        <v>5</v>
      </c>
      <c r="C20">
        <v>120</v>
      </c>
      <c r="D20">
        <v>46</v>
      </c>
      <c r="E20">
        <v>53.536</v>
      </c>
      <c r="F20">
        <v>699.5</v>
      </c>
    </row>
    <row r="21" spans="1:17">
      <c r="A21" t="s">
        <v>83</v>
      </c>
      <c r="B21">
        <v>3</v>
      </c>
      <c r="C21">
        <v>42</v>
      </c>
      <c r="D21">
        <v>15</v>
      </c>
      <c r="E21">
        <v>47.49666666666666</v>
      </c>
      <c r="F21">
        <v>369</v>
      </c>
    </row>
    <row r="25" spans="1:17">
      <c r="A25" s="6" t="s">
        <v>97</v>
      </c>
    </row>
    <row r="26" spans="1:17">
      <c r="A26" s="7" t="s">
        <v>57</v>
      </c>
      <c r="B26" s="7" t="s">
        <v>72</v>
      </c>
      <c r="C26" s="7" t="s">
        <v>73</v>
      </c>
    </row>
    <row r="27" spans="1:17">
      <c r="A27" t="s">
        <v>60</v>
      </c>
      <c r="B27">
        <v>100</v>
      </c>
      <c r="C27">
        <v>270</v>
      </c>
    </row>
    <row r="28" spans="1:17">
      <c r="A28" t="s">
        <v>59</v>
      </c>
      <c r="B28">
        <v>98.39</v>
      </c>
      <c r="C28">
        <v>265.5</v>
      </c>
    </row>
    <row r="29" spans="1:17">
      <c r="A29" t="s">
        <v>61</v>
      </c>
      <c r="B29">
        <v>73.20999999999999</v>
      </c>
      <c r="C29">
        <v>195</v>
      </c>
    </row>
    <row r="30" spans="1:17">
      <c r="A30" t="s">
        <v>62</v>
      </c>
      <c r="B30">
        <v>62.32</v>
      </c>
      <c r="C30">
        <v>164.5</v>
      </c>
    </row>
    <row r="31" spans="1:17">
      <c r="A31" t="s">
        <v>63</v>
      </c>
      <c r="B31">
        <v>45.36</v>
      </c>
      <c r="C31">
        <v>117</v>
      </c>
    </row>
    <row r="32" spans="1:17">
      <c r="A32" t="s">
        <v>65</v>
      </c>
      <c r="B32">
        <v>45.18</v>
      </c>
      <c r="C32">
        <v>116.5</v>
      </c>
    </row>
    <row r="33" spans="1:3">
      <c r="A33" t="s">
        <v>64</v>
      </c>
      <c r="B33">
        <v>43.39</v>
      </c>
      <c r="C33">
        <v>111.5</v>
      </c>
    </row>
    <row r="34" spans="1:3">
      <c r="A34" t="s">
        <v>71</v>
      </c>
      <c r="B34">
        <v>33.39</v>
      </c>
      <c r="C34">
        <v>83.5</v>
      </c>
    </row>
    <row r="68" spans="1:1">
      <c r="A68" s="6" t="s">
        <v>52</v>
      </c>
    </row>
    <row r="69" spans="1:1">
      <c r="A69" s="8" t="s">
        <v>98</v>
      </c>
    </row>
    <row r="70" spans="1:1">
      <c r="A70" s="8" t="s">
        <v>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2">
      <c r="A1" s="9" t="s">
        <v>57</v>
      </c>
      <c r="B1" s="9" t="s">
        <v>58</v>
      </c>
    </row>
    <row r="2" spans="1:2">
      <c r="A2" t="s">
        <v>59</v>
      </c>
      <c r="B2">
        <v>57</v>
      </c>
    </row>
    <row r="3" spans="1:2">
      <c r="A3" t="s">
        <v>60</v>
      </c>
      <c r="B3">
        <v>36</v>
      </c>
    </row>
    <row r="4" spans="1:2">
      <c r="A4" t="s">
        <v>61</v>
      </c>
      <c r="B4">
        <v>22</v>
      </c>
    </row>
    <row r="5" spans="1:2">
      <c r="A5" t="s">
        <v>62</v>
      </c>
      <c r="B5">
        <v>19</v>
      </c>
    </row>
    <row r="6" spans="1:2">
      <c r="A6" t="s">
        <v>63</v>
      </c>
      <c r="B6">
        <v>16</v>
      </c>
    </row>
    <row r="7" spans="1:2">
      <c r="A7" t="s">
        <v>64</v>
      </c>
      <c r="B7">
        <v>16</v>
      </c>
    </row>
    <row r="8" spans="1:2">
      <c r="A8" t="s">
        <v>65</v>
      </c>
      <c r="B8">
        <v>15</v>
      </c>
    </row>
    <row r="9" spans="1:2">
      <c r="A9" t="s">
        <v>66</v>
      </c>
      <c r="B9">
        <v>11</v>
      </c>
    </row>
    <row r="12" spans="1:2">
      <c r="A12" s="9" t="s">
        <v>57</v>
      </c>
      <c r="B12" s="9" t="s">
        <v>67</v>
      </c>
    </row>
    <row r="13" spans="1:2">
      <c r="A13" t="s">
        <v>68</v>
      </c>
      <c r="B13">
        <v>20</v>
      </c>
    </row>
    <row r="14" spans="1:2">
      <c r="A14" t="s">
        <v>60</v>
      </c>
      <c r="B14">
        <v>19</v>
      </c>
    </row>
    <row r="15" spans="1:2">
      <c r="A15" t="s">
        <v>63</v>
      </c>
      <c r="B15">
        <v>17</v>
      </c>
    </row>
    <row r="16" spans="1:2">
      <c r="A16" t="s">
        <v>69</v>
      </c>
      <c r="B16">
        <v>14</v>
      </c>
    </row>
    <row r="17" spans="1:3">
      <c r="A17" t="s">
        <v>70</v>
      </c>
      <c r="B17">
        <v>14</v>
      </c>
    </row>
    <row r="18" spans="1:3">
      <c r="A18" t="s">
        <v>71</v>
      </c>
      <c r="B18">
        <v>12</v>
      </c>
    </row>
    <row r="19" spans="1:3">
      <c r="A19" t="s">
        <v>61</v>
      </c>
      <c r="B19">
        <v>11</v>
      </c>
    </row>
    <row r="20" spans="1:3">
      <c r="A20" t="s">
        <v>65</v>
      </c>
      <c r="B20">
        <v>7</v>
      </c>
    </row>
    <row r="23" spans="1:3">
      <c r="A23" s="9" t="s">
        <v>57</v>
      </c>
      <c r="B23" s="9" t="s">
        <v>72</v>
      </c>
      <c r="C23" s="9" t="s">
        <v>73</v>
      </c>
    </row>
    <row r="24" spans="1:3">
      <c r="A24" t="s">
        <v>60</v>
      </c>
      <c r="B24">
        <v>100</v>
      </c>
      <c r="C24">
        <v>270</v>
      </c>
    </row>
    <row r="25" spans="1:3">
      <c r="A25" t="s">
        <v>59</v>
      </c>
      <c r="B25">
        <v>98.39</v>
      </c>
      <c r="C25">
        <v>265.5</v>
      </c>
    </row>
    <row r="26" spans="1:3">
      <c r="A26" t="s">
        <v>61</v>
      </c>
      <c r="B26">
        <v>73.20999999999999</v>
      </c>
      <c r="C26">
        <v>195</v>
      </c>
    </row>
    <row r="27" spans="1:3">
      <c r="A27" t="s">
        <v>62</v>
      </c>
      <c r="B27">
        <v>62.32</v>
      </c>
      <c r="C27">
        <v>164.5</v>
      </c>
    </row>
    <row r="28" spans="1:3">
      <c r="A28" t="s">
        <v>63</v>
      </c>
      <c r="B28">
        <v>45.36</v>
      </c>
      <c r="C28">
        <v>117</v>
      </c>
    </row>
    <row r="29" spans="1:3">
      <c r="A29" t="s">
        <v>65</v>
      </c>
      <c r="B29">
        <v>45.18</v>
      </c>
      <c r="C29">
        <v>116.5</v>
      </c>
    </row>
    <row r="30" spans="1:3">
      <c r="A30" t="s">
        <v>64</v>
      </c>
      <c r="B30">
        <v>43.39</v>
      </c>
      <c r="C30">
        <v>111.5</v>
      </c>
    </row>
    <row r="31" spans="1:3">
      <c r="A31" t="s">
        <v>71</v>
      </c>
      <c r="B31">
        <v>33.39</v>
      </c>
      <c r="C31">
        <v>83.5</v>
      </c>
    </row>
    <row r="34" spans="1:6">
      <c r="A34" s="9" t="s">
        <v>74</v>
      </c>
      <c r="B34" s="9" t="s">
        <v>75</v>
      </c>
      <c r="C34" s="9" t="s">
        <v>76</v>
      </c>
      <c r="D34" s="9" t="s">
        <v>77</v>
      </c>
      <c r="E34" s="9" t="s">
        <v>78</v>
      </c>
      <c r="F34" s="9" t="s">
        <v>79</v>
      </c>
    </row>
    <row r="35" spans="1:6">
      <c r="A35" t="s">
        <v>80</v>
      </c>
      <c r="B35">
        <v>5</v>
      </c>
      <c r="C35">
        <v>30</v>
      </c>
      <c r="D35">
        <v>54</v>
      </c>
      <c r="E35">
        <v>24.82</v>
      </c>
      <c r="F35">
        <v>297.5</v>
      </c>
    </row>
    <row r="36" spans="1:6">
      <c r="A36" t="s">
        <v>81</v>
      </c>
      <c r="B36">
        <v>3</v>
      </c>
      <c r="C36">
        <v>19</v>
      </c>
      <c r="D36">
        <v>22</v>
      </c>
      <c r="E36">
        <v>17.38</v>
      </c>
      <c r="F36">
        <v>116</v>
      </c>
    </row>
    <row r="37" spans="1:6">
      <c r="A37" t="s">
        <v>82</v>
      </c>
      <c r="B37">
        <v>5</v>
      </c>
      <c r="C37">
        <v>120</v>
      </c>
      <c r="D37">
        <v>46</v>
      </c>
      <c r="E37">
        <v>53.536</v>
      </c>
      <c r="F37">
        <v>699.5</v>
      </c>
    </row>
    <row r="38" spans="1:6">
      <c r="A38" t="s">
        <v>83</v>
      </c>
      <c r="B38">
        <v>3</v>
      </c>
      <c r="C38">
        <v>42</v>
      </c>
      <c r="D38">
        <v>15</v>
      </c>
      <c r="E38">
        <v>47.49666666666666</v>
      </c>
      <c r="F38">
        <v>369</v>
      </c>
    </row>
    <row r="41" spans="1:6">
      <c r="A41" s="9" t="s">
        <v>84</v>
      </c>
      <c r="B41" s="9" t="s">
        <v>75</v>
      </c>
      <c r="C41" s="9" t="s">
        <v>76</v>
      </c>
      <c r="D41" s="9" t="s">
        <v>77</v>
      </c>
      <c r="E41" s="9" t="s">
        <v>78</v>
      </c>
      <c r="F41" s="9" t="s">
        <v>79</v>
      </c>
    </row>
    <row r="42" spans="1:6">
      <c r="A42" t="s">
        <v>85</v>
      </c>
      <c r="B42">
        <v>15</v>
      </c>
      <c r="C42">
        <v>196</v>
      </c>
      <c r="D42">
        <v>130</v>
      </c>
      <c r="E42">
        <v>36.082</v>
      </c>
      <c r="F42">
        <v>1365.5</v>
      </c>
    </row>
    <row r="43" spans="1:6">
      <c r="A43" t="s">
        <v>86</v>
      </c>
      <c r="B43">
        <v>1</v>
      </c>
      <c r="C43">
        <v>15</v>
      </c>
      <c r="D43">
        <v>7</v>
      </c>
      <c r="E43">
        <v>45.18</v>
      </c>
      <c r="F43">
        <v>116.5</v>
      </c>
    </row>
    <row r="46" spans="1:6">
      <c r="A46" s="9" t="s">
        <v>87</v>
      </c>
      <c r="B46" s="9" t="s">
        <v>75</v>
      </c>
      <c r="C46" s="9" t="s">
        <v>76</v>
      </c>
      <c r="D46" s="9" t="s">
        <v>77</v>
      </c>
      <c r="E46" s="9" t="s">
        <v>78</v>
      </c>
      <c r="F46" s="9" t="s">
        <v>79</v>
      </c>
    </row>
    <row r="47" spans="1:6">
      <c r="A47" t="s">
        <v>88</v>
      </c>
      <c r="B47">
        <v>4</v>
      </c>
      <c r="C47">
        <v>90</v>
      </c>
      <c r="D47">
        <v>54</v>
      </c>
      <c r="E47">
        <v>65.48999999999999</v>
      </c>
      <c r="F47">
        <v>693.5</v>
      </c>
    </row>
    <row r="48" spans="1:6">
      <c r="A48" t="s">
        <v>89</v>
      </c>
      <c r="B48">
        <v>12</v>
      </c>
      <c r="C48">
        <v>121</v>
      </c>
      <c r="D48">
        <v>83</v>
      </c>
      <c r="E48">
        <v>27.0375</v>
      </c>
      <c r="F48">
        <v>788.5</v>
      </c>
    </row>
    <row r="51" spans="1:4">
      <c r="A51" s="9" t="s">
        <v>57</v>
      </c>
      <c r="B51" s="9" t="s">
        <v>90</v>
      </c>
      <c r="C51" s="9" t="s">
        <v>91</v>
      </c>
      <c r="D51" s="9" t="s">
        <v>92</v>
      </c>
    </row>
    <row r="52" spans="1:4">
      <c r="A52" t="s">
        <v>59</v>
      </c>
      <c r="B52">
        <v>0.500387</v>
      </c>
      <c r="C52">
        <v>0.483051</v>
      </c>
      <c r="D52">
        <v>118</v>
      </c>
    </row>
    <row r="53" spans="1:4">
      <c r="A53" t="s">
        <v>62</v>
      </c>
      <c r="B53">
        <v>0.458333</v>
      </c>
      <c r="C53">
        <v>0.575758</v>
      </c>
      <c r="D53">
        <v>33</v>
      </c>
    </row>
    <row r="54" spans="1:4">
      <c r="A54" t="s">
        <v>60</v>
      </c>
      <c r="B54">
        <v>0.401337</v>
      </c>
      <c r="C54">
        <v>0.423529</v>
      </c>
      <c r="D54">
        <v>85</v>
      </c>
    </row>
    <row r="55" spans="1:4">
      <c r="A55" t="s">
        <v>63</v>
      </c>
      <c r="B55">
        <v>0.391026</v>
      </c>
      <c r="C55">
        <v>0.484848</v>
      </c>
      <c r="D55">
        <v>33</v>
      </c>
    </row>
    <row r="56" spans="1:4">
      <c r="A56" t="s">
        <v>61</v>
      </c>
      <c r="B56">
        <v>0.382143</v>
      </c>
      <c r="C56">
        <v>0.431373</v>
      </c>
      <c r="D56">
        <v>51</v>
      </c>
    </row>
    <row r="57" spans="1:4">
      <c r="A57" t="s">
        <v>65</v>
      </c>
      <c r="B57">
        <v>0.373299</v>
      </c>
      <c r="C57">
        <v>0.375</v>
      </c>
      <c r="D57">
        <v>40</v>
      </c>
    </row>
    <row r="58" spans="1:4">
      <c r="A58" t="s">
        <v>66</v>
      </c>
      <c r="B58">
        <v>0.358974</v>
      </c>
      <c r="C58">
        <v>0.407407</v>
      </c>
      <c r="D58">
        <v>27</v>
      </c>
    </row>
    <row r="59" spans="1:4">
      <c r="A59" t="s">
        <v>64</v>
      </c>
      <c r="B59">
        <v>0.351361</v>
      </c>
      <c r="C59">
        <v>0.347826</v>
      </c>
      <c r="D59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sheetFormatPr defaultRowHeight="15"/>
  <cols>
    <col min="1" max="10" width="16.7109375" customWidth="1"/>
  </cols>
  <sheetData>
    <row r="1" spans="1:11">
      <c r="A1" s="1" t="s">
        <v>100</v>
      </c>
    </row>
    <row r="2" spans="1:11">
      <c r="A2" s="2" t="s">
        <v>101</v>
      </c>
    </row>
    <row r="4" spans="1:11">
      <c r="A4" s="6" t="s">
        <v>117</v>
      </c>
    </row>
    <row r="5" spans="1:11">
      <c r="A5" s="7" t="s">
        <v>102</v>
      </c>
      <c r="B5" s="7" t="s">
        <v>84</v>
      </c>
      <c r="C5" s="7" t="s">
        <v>2</v>
      </c>
      <c r="D5" s="7" t="s">
        <v>103</v>
      </c>
      <c r="E5" s="7" t="s">
        <v>104</v>
      </c>
      <c r="F5" s="7" t="s">
        <v>7</v>
      </c>
      <c r="G5" s="7" t="s">
        <v>105</v>
      </c>
      <c r="H5" s="7" t="s">
        <v>106</v>
      </c>
      <c r="I5" s="7" t="s">
        <v>107</v>
      </c>
      <c r="J5" s="7" t="s">
        <v>108</v>
      </c>
    </row>
    <row r="6" spans="1:11">
      <c r="A6" t="s">
        <v>109</v>
      </c>
      <c r="B6" t="s">
        <v>85</v>
      </c>
      <c r="C6">
        <v>3</v>
      </c>
      <c r="D6">
        <v>2</v>
      </c>
      <c r="E6">
        <v>4</v>
      </c>
      <c r="F6">
        <v>5</v>
      </c>
      <c r="G6">
        <v>0.45</v>
      </c>
      <c r="H6">
        <v>3</v>
      </c>
      <c r="I6">
        <v>1.5</v>
      </c>
      <c r="J6">
        <v>100</v>
      </c>
    </row>
    <row r="7" spans="1:11">
      <c r="A7" t="s">
        <v>110</v>
      </c>
      <c r="B7" t="s">
        <v>85</v>
      </c>
      <c r="C7">
        <v>14</v>
      </c>
      <c r="D7">
        <v>9</v>
      </c>
      <c r="E7">
        <v>54</v>
      </c>
      <c r="F7">
        <v>73</v>
      </c>
      <c r="G7">
        <v>0.372448</v>
      </c>
      <c r="H7">
        <v>-47.9</v>
      </c>
      <c r="I7">
        <v>-5.322222</v>
      </c>
      <c r="J7">
        <v>0</v>
      </c>
    </row>
    <row r="8" spans="1:11">
      <c r="A8" t="s">
        <v>111</v>
      </c>
      <c r="B8" t="s">
        <v>86</v>
      </c>
      <c r="C8">
        <v>16</v>
      </c>
      <c r="D8">
        <v>12</v>
      </c>
      <c r="E8">
        <v>82</v>
      </c>
      <c r="F8">
        <v>86</v>
      </c>
      <c r="G8">
        <v>0.43914</v>
      </c>
      <c r="H8">
        <v>-6</v>
      </c>
      <c r="I8">
        <v>-0.5</v>
      </c>
      <c r="J8">
        <v>82.31999999999999</v>
      </c>
    </row>
    <row r="12" spans="1:11">
      <c r="A12" s="6" t="s">
        <v>118</v>
      </c>
      <c r="E12" s="6" t="s">
        <v>119</v>
      </c>
      <c r="I12" s="6" t="s">
        <v>120</v>
      </c>
    </row>
    <row r="13" spans="1:11">
      <c r="A13" s="7" t="s">
        <v>57</v>
      </c>
      <c r="B13" s="7" t="s">
        <v>112</v>
      </c>
      <c r="E13" s="7" t="s">
        <v>57</v>
      </c>
      <c r="F13" s="7" t="s">
        <v>113</v>
      </c>
      <c r="G13" s="7" t="s">
        <v>114</v>
      </c>
      <c r="I13" s="7" t="s">
        <v>57</v>
      </c>
      <c r="J13" s="7" t="s">
        <v>115</v>
      </c>
      <c r="K13" s="7" t="s">
        <v>114</v>
      </c>
    </row>
    <row r="14" spans="1:11">
      <c r="A14" t="s">
        <v>111</v>
      </c>
      <c r="B14">
        <v>82</v>
      </c>
      <c r="E14" t="s">
        <v>109</v>
      </c>
      <c r="F14">
        <v>0.45</v>
      </c>
      <c r="G14">
        <v>2</v>
      </c>
      <c r="I14" t="s">
        <v>109</v>
      </c>
      <c r="J14">
        <v>5</v>
      </c>
      <c r="K14">
        <v>2</v>
      </c>
    </row>
    <row r="15" spans="1:11">
      <c r="A15" t="s">
        <v>110</v>
      </c>
      <c r="B15">
        <v>54</v>
      </c>
      <c r="E15" t="s">
        <v>111</v>
      </c>
      <c r="F15">
        <v>0.43914</v>
      </c>
      <c r="G15">
        <v>12</v>
      </c>
      <c r="I15" t="s">
        <v>110</v>
      </c>
      <c r="J15">
        <v>73</v>
      </c>
      <c r="K15">
        <v>9</v>
      </c>
    </row>
    <row r="16" spans="1:11">
      <c r="A16" t="s">
        <v>109</v>
      </c>
      <c r="B16">
        <v>4</v>
      </c>
      <c r="E16" t="s">
        <v>110</v>
      </c>
      <c r="F16">
        <v>0.372448</v>
      </c>
      <c r="G16">
        <v>9</v>
      </c>
      <c r="I16" t="s">
        <v>111</v>
      </c>
      <c r="J16">
        <v>86</v>
      </c>
      <c r="K16">
        <v>12</v>
      </c>
    </row>
    <row r="19" spans="1:4">
      <c r="A19" s="6" t="s">
        <v>121</v>
      </c>
    </row>
    <row r="20" spans="1:4">
      <c r="A20" s="7" t="s">
        <v>57</v>
      </c>
      <c r="B20" s="7" t="s">
        <v>72</v>
      </c>
      <c r="C20" s="7" t="s">
        <v>73</v>
      </c>
      <c r="D20" s="7" t="s">
        <v>116</v>
      </c>
    </row>
    <row r="21" spans="1:4">
      <c r="A21" t="s">
        <v>109</v>
      </c>
      <c r="B21">
        <v>100</v>
      </c>
      <c r="C21">
        <v>3</v>
      </c>
      <c r="D21">
        <v>1.5</v>
      </c>
    </row>
    <row r="22" spans="1:4">
      <c r="A22" t="s">
        <v>111</v>
      </c>
      <c r="B22">
        <v>82.31999999999999</v>
      </c>
      <c r="C22">
        <v>-6</v>
      </c>
      <c r="D22">
        <v>-0.5</v>
      </c>
    </row>
    <row r="23" spans="1:4">
      <c r="A23" t="s">
        <v>110</v>
      </c>
      <c r="B23">
        <v>0</v>
      </c>
      <c r="C23">
        <v>-47.9</v>
      </c>
      <c r="D23">
        <v>-5.322222</v>
      </c>
    </row>
    <row r="62" spans="1:1">
      <c r="A62" s="6" t="s">
        <v>52</v>
      </c>
    </row>
    <row r="63" spans="1:1">
      <c r="A63" s="8" t="s">
        <v>122</v>
      </c>
    </row>
    <row r="64" spans="1:1">
      <c r="A64" s="8" t="s">
        <v>123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9" t="s">
        <v>102</v>
      </c>
      <c r="B1" s="9" t="s">
        <v>84</v>
      </c>
      <c r="C1" s="9" t="s">
        <v>2</v>
      </c>
      <c r="D1" s="9" t="s">
        <v>103</v>
      </c>
      <c r="E1" s="9" t="s">
        <v>104</v>
      </c>
      <c r="F1" s="9" t="s">
        <v>7</v>
      </c>
      <c r="G1" s="9" t="s">
        <v>105</v>
      </c>
      <c r="H1" s="9" t="s">
        <v>106</v>
      </c>
      <c r="I1" s="9" t="s">
        <v>107</v>
      </c>
      <c r="J1" s="9" t="s">
        <v>108</v>
      </c>
    </row>
    <row r="2" spans="1:10">
      <c r="A2" t="s">
        <v>109</v>
      </c>
      <c r="B2" t="s">
        <v>85</v>
      </c>
      <c r="C2">
        <v>3</v>
      </c>
      <c r="D2">
        <v>2</v>
      </c>
      <c r="E2">
        <v>4</v>
      </c>
      <c r="F2">
        <v>5</v>
      </c>
      <c r="G2">
        <v>0.45</v>
      </c>
      <c r="H2">
        <v>3</v>
      </c>
      <c r="I2">
        <v>1.5</v>
      </c>
      <c r="J2">
        <v>100</v>
      </c>
    </row>
    <row r="3" spans="1:10">
      <c r="A3" t="s">
        <v>110</v>
      </c>
      <c r="B3" t="s">
        <v>85</v>
      </c>
      <c r="C3">
        <v>14</v>
      </c>
      <c r="D3">
        <v>9</v>
      </c>
      <c r="E3">
        <v>54</v>
      </c>
      <c r="F3">
        <v>73</v>
      </c>
      <c r="G3">
        <v>0.372448</v>
      </c>
      <c r="H3">
        <v>-47.9</v>
      </c>
      <c r="I3">
        <v>-5.322222</v>
      </c>
      <c r="J3">
        <v>0</v>
      </c>
    </row>
    <row r="4" spans="1:10">
      <c r="A4" t="s">
        <v>111</v>
      </c>
      <c r="B4" t="s">
        <v>86</v>
      </c>
      <c r="C4">
        <v>16</v>
      </c>
      <c r="D4">
        <v>12</v>
      </c>
      <c r="E4">
        <v>82</v>
      </c>
      <c r="F4">
        <v>86</v>
      </c>
      <c r="G4">
        <v>0.43914</v>
      </c>
      <c r="H4">
        <v>-6</v>
      </c>
      <c r="I4">
        <v>-0.5</v>
      </c>
      <c r="J4">
        <v>82.31999999999999</v>
      </c>
    </row>
    <row r="7" spans="1:10">
      <c r="A7" s="9" t="s">
        <v>57</v>
      </c>
      <c r="B7" s="9" t="s">
        <v>112</v>
      </c>
    </row>
    <row r="8" spans="1:10">
      <c r="A8" t="s">
        <v>111</v>
      </c>
      <c r="B8">
        <v>82</v>
      </c>
    </row>
    <row r="9" spans="1:10">
      <c r="A9" t="s">
        <v>110</v>
      </c>
      <c r="B9">
        <v>54</v>
      </c>
    </row>
    <row r="10" spans="1:10">
      <c r="A10" t="s">
        <v>109</v>
      </c>
      <c r="B10">
        <v>4</v>
      </c>
    </row>
    <row r="13" spans="1:10">
      <c r="A13" s="9" t="s">
        <v>57</v>
      </c>
      <c r="B13" s="9" t="s">
        <v>113</v>
      </c>
      <c r="C13" s="9" t="s">
        <v>114</v>
      </c>
    </row>
    <row r="14" spans="1:10">
      <c r="A14" t="s">
        <v>109</v>
      </c>
      <c r="B14">
        <v>0.45</v>
      </c>
      <c r="C14">
        <v>2</v>
      </c>
    </row>
    <row r="15" spans="1:10">
      <c r="A15" t="s">
        <v>111</v>
      </c>
      <c r="B15">
        <v>0.43914</v>
      </c>
      <c r="C15">
        <v>12</v>
      </c>
    </row>
    <row r="16" spans="1:10">
      <c r="A16" t="s">
        <v>110</v>
      </c>
      <c r="B16">
        <v>0.372448</v>
      </c>
      <c r="C16">
        <v>9</v>
      </c>
    </row>
    <row r="19" spans="1:4">
      <c r="A19" s="9" t="s">
        <v>57</v>
      </c>
      <c r="B19" s="9" t="s">
        <v>115</v>
      </c>
      <c r="C19" s="9" t="s">
        <v>114</v>
      </c>
    </row>
    <row r="20" spans="1:4">
      <c r="A20" t="s">
        <v>109</v>
      </c>
      <c r="B20">
        <v>5</v>
      </c>
      <c r="C20">
        <v>2</v>
      </c>
    </row>
    <row r="21" spans="1:4">
      <c r="A21" t="s">
        <v>110</v>
      </c>
      <c r="B21">
        <v>73</v>
      </c>
      <c r="C21">
        <v>9</v>
      </c>
    </row>
    <row r="22" spans="1:4">
      <c r="A22" t="s">
        <v>111</v>
      </c>
      <c r="B22">
        <v>86</v>
      </c>
      <c r="C22">
        <v>12</v>
      </c>
    </row>
    <row r="25" spans="1:4">
      <c r="A25" s="9" t="s">
        <v>57</v>
      </c>
      <c r="B25" s="9" t="s">
        <v>72</v>
      </c>
      <c r="C25" s="9" t="s">
        <v>73</v>
      </c>
      <c r="D25" s="9" t="s">
        <v>116</v>
      </c>
    </row>
    <row r="26" spans="1:4">
      <c r="A26" t="s">
        <v>109</v>
      </c>
      <c r="B26">
        <v>100</v>
      </c>
      <c r="C26">
        <v>3</v>
      </c>
      <c r="D26">
        <v>1.5</v>
      </c>
    </row>
    <row r="27" spans="1:4">
      <c r="A27" t="s">
        <v>111</v>
      </c>
      <c r="B27">
        <v>82.31999999999999</v>
      </c>
      <c r="C27">
        <v>-6</v>
      </c>
      <c r="D27">
        <v>-0.5</v>
      </c>
    </row>
    <row r="28" spans="1:4">
      <c r="A28" t="s">
        <v>110</v>
      </c>
      <c r="B28">
        <v>0</v>
      </c>
      <c r="C28">
        <v>-47.9</v>
      </c>
      <c r="D28">
        <v>-5.322222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10"/>
  <sheetViews>
    <sheetView workbookViewId="0"/>
  </sheetViews>
  <sheetFormatPr defaultRowHeight="15"/>
  <cols>
    <col min="1" max="1" width="24.7109375" customWidth="1"/>
    <col min="2" max="4" width="18.7109375" customWidth="1"/>
    <col min="6" max="17" width="12.7109375" customWidth="1"/>
  </cols>
  <sheetData>
    <row r="1" spans="1:8">
      <c r="A1" s="1" t="s">
        <v>124</v>
      </c>
    </row>
    <row r="2" spans="1:8">
      <c r="A2" s="2" t="s">
        <v>125</v>
      </c>
    </row>
    <row r="4" spans="1:8">
      <c r="A4" s="6" t="s">
        <v>215</v>
      </c>
    </row>
    <row r="5" spans="1:8">
      <c r="A5" s="3" t="s">
        <v>216</v>
      </c>
      <c r="B5" s="10" t="s">
        <v>63</v>
      </c>
      <c r="C5" s="3" t="s">
        <v>217</v>
      </c>
      <c r="D5" s="10" t="s">
        <v>69</v>
      </c>
    </row>
    <row r="8" spans="1:8">
      <c r="A8" s="3" t="s">
        <v>218</v>
      </c>
      <c r="B8" s="3" t="s">
        <v>216</v>
      </c>
      <c r="C8" s="3" t="s">
        <v>217</v>
      </c>
      <c r="D8" s="3" t="s">
        <v>219</v>
      </c>
      <c r="F8" s="6" t="s">
        <v>235</v>
      </c>
    </row>
    <row r="9" spans="1:8">
      <c r="A9" s="11" t="s">
        <v>74</v>
      </c>
      <c r="B9" s="12" cm="1">
        <f t="array" ref="B9">IF($B$5="","",_xlfn.XLOOKUP($B$5,'_Confronto_Data'!$F$2:$F$17,'_Confronto_Data'!$L$2:$L$17,""))</f>
        <v>0</v>
      </c>
      <c r="C9" s="12" cm="1">
        <f t="array" ref="C9">IF($D$5="","",_xlfn.XLOOKUP($D$5,'_Confronto_Data'!$F$2:$F$17,'_Confronto_Data'!$L$2:$L$17,""))</f>
        <v>0</v>
      </c>
      <c r="D9" s="12"/>
      <c r="F9" s="3" t="s">
        <v>218</v>
      </c>
      <c r="G9" s="3" t="s">
        <v>236</v>
      </c>
      <c r="H9" s="3" t="s">
        <v>237</v>
      </c>
    </row>
    <row r="10" spans="1:8">
      <c r="A10" s="11" t="s">
        <v>84</v>
      </c>
      <c r="B10" s="12" cm="1">
        <f t="array" ref="B10">IF($B$5="","",_xlfn.XLOOKUP($B$5,'_Confronto_Data'!$F$2:$F$17,'_Confronto_Data'!$J$2:$J$17,""))</f>
        <v>0</v>
      </c>
      <c r="C10" s="12" cm="1">
        <f t="array" ref="C10">IF($D$5="","",_xlfn.XLOOKUP($D$5,'_Confronto_Data'!$F$2:$F$17,'_Confronto_Data'!$J$2:$J$17,""))</f>
        <v>0</v>
      </c>
      <c r="D10" s="12"/>
      <c r="F10" t="s">
        <v>76</v>
      </c>
      <c r="G10">
        <f>B13</f>
        <v>0</v>
      </c>
      <c r="H10">
        <f>C13</f>
        <v>0</v>
      </c>
    </row>
    <row r="11" spans="1:8">
      <c r="A11" s="11" t="s">
        <v>87</v>
      </c>
      <c r="B11" s="12" cm="1">
        <f t="array" ref="B11">IF($B$5="","",_xlfn.XLOOKUP($B$5,'_Confronto_Data'!$F$2:$F$17,'_Confronto_Data'!$M$2:$M$17,""))</f>
        <v>0</v>
      </c>
      <c r="C11" s="12" cm="1">
        <f t="array" ref="C11">IF($D$5="","",_xlfn.XLOOKUP($D$5,'_Confronto_Data'!$F$2:$F$17,'_Confronto_Data'!$M$2:$M$17,""))</f>
        <v>0</v>
      </c>
      <c r="D11" s="12"/>
      <c r="F11" t="s">
        <v>77</v>
      </c>
      <c r="G11">
        <f>B15</f>
        <v>0</v>
      </c>
      <c r="H11">
        <f>C15</f>
        <v>0</v>
      </c>
    </row>
    <row r="12" spans="1:8">
      <c r="A12" s="11" t="s">
        <v>2</v>
      </c>
      <c r="B12" s="12" cm="1">
        <f t="array" ref="B12">IF($B$5="","",_xlfn.XLOOKUP($B$5,'_Confronto_Data'!$F$2:$F$17,'_Confronto_Data'!$P$2:$P$17,""))</f>
        <v>0</v>
      </c>
      <c r="C12" s="12" cm="1">
        <f t="array" ref="C12">IF($D$5="","",_xlfn.XLOOKUP($D$5,'_Confronto_Data'!$F$2:$F$17,'_Confronto_Data'!$P$2:$P$17,""))</f>
        <v>0</v>
      </c>
      <c r="D12" s="12">
        <f>IF(OR(B12="",C12=""),"",B12-C12)</f>
        <v>0</v>
      </c>
      <c r="F12" t="s">
        <v>222</v>
      </c>
      <c r="G12">
        <f>B17</f>
        <v>0</v>
      </c>
      <c r="H12">
        <f>C17</f>
        <v>0</v>
      </c>
    </row>
    <row r="13" spans="1:8">
      <c r="A13" s="11" t="s">
        <v>76</v>
      </c>
      <c r="B13" s="12" cm="1">
        <f t="array" ref="B13">IF($B$5="","",_xlfn.XLOOKUP($B$5,'_Confronto_Data'!$F$2:$F$17,'_Confronto_Data'!$R$2:$R$17,""))</f>
        <v>0</v>
      </c>
      <c r="C13" s="12" cm="1">
        <f t="array" ref="C13">IF($D$5="","",_xlfn.XLOOKUP($D$5,'_Confronto_Data'!$F$2:$F$17,'_Confronto_Data'!$R$2:$R$17,""))</f>
        <v>0</v>
      </c>
      <c r="D13" s="12">
        <f>IF(OR(B13="",C13=""),"",B13-C13)</f>
        <v>0</v>
      </c>
    </row>
    <row r="14" spans="1:8">
      <c r="A14" s="11" t="s">
        <v>220</v>
      </c>
      <c r="B14" s="12" cm="1">
        <f t="array" ref="B14">IF($B$5="","",_xlfn.XLOOKUP($B$5,'_Confronto_Data'!$F$2:$F$17,'_Confronto_Data'!$S$2:$S$17,""))</f>
        <v>0</v>
      </c>
      <c r="C14" s="12" cm="1">
        <f t="array" ref="C14">IF($D$5="","",_xlfn.XLOOKUP($D$5,'_Confronto_Data'!$F$2:$F$17,'_Confronto_Data'!$S$2:$S$17,""))</f>
        <v>0</v>
      </c>
      <c r="D14" s="12">
        <f>IF(OR(B14="",C14=""),"",B14-C14)</f>
        <v>0</v>
      </c>
    </row>
    <row r="15" spans="1:8">
      <c r="A15" s="11" t="s">
        <v>77</v>
      </c>
      <c r="B15" s="12" cm="1">
        <f t="array" ref="B15">IF($B$5="","",_xlfn.XLOOKUP($B$5,'_Confronto_Data'!$F$2:$F$17,'_Confronto_Data'!$T$2:$T$17,""))</f>
        <v>0</v>
      </c>
      <c r="C15" s="12" cm="1">
        <f t="array" ref="C15">IF($D$5="","",_xlfn.XLOOKUP($D$5,'_Confronto_Data'!$F$2:$F$17,'_Confronto_Data'!$T$2:$T$17,""))</f>
        <v>0</v>
      </c>
      <c r="D15" s="12">
        <f>IF(OR(B15="",C15=""),"",B15-C15)</f>
        <v>0</v>
      </c>
    </row>
    <row r="16" spans="1:8">
      <c r="A16" s="11" t="s">
        <v>221</v>
      </c>
      <c r="B16" s="12" cm="1">
        <f t="array" ref="B16">IF($B$5="","",_xlfn.XLOOKUP($B$5,'_Confronto_Data'!$F$2:$F$17,'_Confronto_Data'!$U$2:$U$17,""))</f>
        <v>0</v>
      </c>
      <c r="C16" s="12" cm="1">
        <f t="array" ref="C16">IF($D$5="","",_xlfn.XLOOKUP($D$5,'_Confronto_Data'!$F$2:$F$17,'_Confronto_Data'!$U$2:$U$17,""))</f>
        <v>0</v>
      </c>
      <c r="D16" s="12">
        <f>IF(OR(B16="",C16=""),"",B16-C16)</f>
        <v>0</v>
      </c>
    </row>
    <row r="17" spans="1:12">
      <c r="A17" s="11" t="s">
        <v>222</v>
      </c>
      <c r="B17" s="12" cm="1">
        <f t="array" ref="B17">IF($B$5="","",_xlfn.XLOOKUP($B$5,'_Confronto_Data'!$F$2:$F$17,'_Confronto_Data'!$V$2:$V$17,""))</f>
        <v>0</v>
      </c>
      <c r="C17" s="12" cm="1">
        <f t="array" ref="C17">IF($D$5="","",_xlfn.XLOOKUP($D$5,'_Confronto_Data'!$F$2:$F$17,'_Confronto_Data'!$V$2:$V$17,""))</f>
        <v>0</v>
      </c>
      <c r="D17" s="12">
        <f>IF(OR(B17="",C17=""),"",B17-C17)</f>
        <v>0</v>
      </c>
    </row>
    <row r="18" spans="1:12">
      <c r="A18" s="11" t="s">
        <v>223</v>
      </c>
      <c r="B18" s="13" cm="1">
        <f t="array" ref="B18">IF($B$5="","",_xlfn.XLOOKUP($B$5,'_Confronto_Data'!$F$2:$F$17,'_Confronto_Data'!$AS$2:$AS$17,""))</f>
        <v>0</v>
      </c>
      <c r="C18" s="13" cm="1">
        <f t="array" ref="C18">IF($D$5="","",_xlfn.XLOOKUP($D$5,'_Confronto_Data'!$F$2:$F$17,'_Confronto_Data'!$AS$2:$AS$17,""))</f>
        <v>0</v>
      </c>
      <c r="D18" s="13">
        <f>IF(OR(B18="",C18=""),"",B18-C18)</f>
        <v>0</v>
      </c>
    </row>
    <row r="19" spans="1:12">
      <c r="A19" s="11" t="s">
        <v>224</v>
      </c>
      <c r="B19" s="13" cm="1">
        <f t="array" ref="B19">IF($B$5="","",_xlfn.XLOOKUP($B$5,'_Confronto_Data'!$F$2:$F$17,'_Confronto_Data'!$AT$2:$AT$17,""))</f>
        <v>0</v>
      </c>
      <c r="C19" s="13" cm="1">
        <f t="array" ref="C19">IF($D$5="","",_xlfn.XLOOKUP($D$5,'_Confronto_Data'!$F$2:$F$17,'_Confronto_Data'!$AT$2:$AT$17,""))</f>
        <v>0</v>
      </c>
      <c r="D19" s="13">
        <f>IF(OR(B19="",C19=""),"",B19-C19)</f>
        <v>0</v>
      </c>
    </row>
    <row r="20" spans="1:12">
      <c r="A20" s="11" t="s">
        <v>225</v>
      </c>
      <c r="B20" s="12" cm="1">
        <f t="array" ref="B20">IF($B$5="","",_xlfn.XLOOKUP($B$5,'_Confronto_Data'!$F$2:$F$17,'_Confronto_Data'!$X$2:$X$17,""))</f>
        <v>0</v>
      </c>
      <c r="C20" s="12" cm="1">
        <f t="array" ref="C20">IF($D$5="","",_xlfn.XLOOKUP($D$5,'_Confronto_Data'!$F$2:$F$17,'_Confronto_Data'!$X$2:$X$17,""))</f>
        <v>0</v>
      </c>
      <c r="D20" s="12">
        <f>IF(OR(B20="",C20=""),"",B20-C20)</f>
        <v>0</v>
      </c>
    </row>
    <row r="21" spans="1:12">
      <c r="A21" s="11" t="s">
        <v>226</v>
      </c>
      <c r="B21" s="12" cm="1">
        <f t="array" ref="B21">IF($B$5="","",_xlfn.XLOOKUP($B$5,'_Confronto_Data'!$F$2:$F$17,'_Confronto_Data'!$AJ$2:$AJ$17,""))</f>
        <v>0</v>
      </c>
      <c r="C21" s="12" cm="1">
        <f t="array" ref="C21">IF($D$5="","",_xlfn.XLOOKUP($D$5,'_Confronto_Data'!$F$2:$F$17,'_Confronto_Data'!$AJ$2:$AJ$17,""))</f>
        <v>0</v>
      </c>
      <c r="D21" s="12">
        <f>IF(OR(B21="",C21=""),"",B21-C21)</f>
        <v>0</v>
      </c>
    </row>
    <row r="22" spans="1:12">
      <c r="A22" s="11" t="s">
        <v>227</v>
      </c>
      <c r="B22" s="12" cm="1">
        <f t="array" ref="B22">IF($B$5="","",_xlfn.XLOOKUP($B$5,'_Confronto_Data'!$F$2:$F$17,'_Confronto_Data'!$Z$2:$Z$17,""))</f>
        <v>0</v>
      </c>
      <c r="C22" s="12" cm="1">
        <f t="array" ref="C22">IF($D$5="","",_xlfn.XLOOKUP($D$5,'_Confronto_Data'!$F$2:$F$17,'_Confronto_Data'!$Z$2:$Z$17,""))</f>
        <v>0</v>
      </c>
      <c r="D22" s="12">
        <f>IF(OR(B22="",C22=""),"",B22-C22)</f>
        <v>0</v>
      </c>
    </row>
    <row r="23" spans="1:12">
      <c r="A23" s="11" t="s">
        <v>228</v>
      </c>
      <c r="B23" s="12" cm="1">
        <f t="array" ref="B23">IF($B$5="","",_xlfn.XLOOKUP($B$5,'_Confronto_Data'!$F$2:$F$17,'_Confronto_Data'!$AF$2:$AF$17,""))</f>
        <v>0</v>
      </c>
      <c r="C23" s="12" cm="1">
        <f t="array" ref="C23">IF($D$5="","",_xlfn.XLOOKUP($D$5,'_Confronto_Data'!$F$2:$F$17,'_Confronto_Data'!$AF$2:$AF$17,""))</f>
        <v>0</v>
      </c>
      <c r="D23" s="12">
        <f>IF(OR(B23="",C23=""),"",B23-C23)</f>
        <v>0</v>
      </c>
    </row>
    <row r="24" spans="1:12">
      <c r="A24" s="11" t="s">
        <v>229</v>
      </c>
      <c r="B24" s="12" cm="1">
        <f t="array" ref="B24">IF($B$5="","",_xlfn.XLOOKUP($B$5,'_Confronto_Data'!$F$2:$F$17,'_Confronto_Data'!$AB$2:$AB$17,""))</f>
        <v>0</v>
      </c>
      <c r="C24" s="12" cm="1">
        <f t="array" ref="C24">IF($D$5="","",_xlfn.XLOOKUP($D$5,'_Confronto_Data'!$F$2:$F$17,'_Confronto_Data'!$AB$2:$AB$17,""))</f>
        <v>0</v>
      </c>
      <c r="D24" s="12">
        <f>IF(OR(B24="",C24=""),"",B24-C24)</f>
        <v>0</v>
      </c>
    </row>
    <row r="25" spans="1:12">
      <c r="A25" s="11" t="s">
        <v>230</v>
      </c>
      <c r="B25" s="12" cm="1">
        <f t="array" ref="B25">IF($B$5="","",_xlfn.XLOOKUP($B$5,'_Confronto_Data'!$F$2:$F$17,'_Confronto_Data'!$AH$2:$AH$17,""))</f>
        <v>0</v>
      </c>
      <c r="C25" s="12" cm="1">
        <f t="array" ref="C25">IF($D$5="","",_xlfn.XLOOKUP($D$5,'_Confronto_Data'!$F$2:$F$17,'_Confronto_Data'!$AH$2:$AH$17,""))</f>
        <v>0</v>
      </c>
      <c r="D25" s="12">
        <f>IF(OR(B25="",C25=""),"",B25-C25)</f>
        <v>0</v>
      </c>
    </row>
    <row r="26" spans="1:12">
      <c r="A26" s="11" t="s">
        <v>231</v>
      </c>
      <c r="B26" s="12" cm="1">
        <f t="array" ref="B26">IF($B$5="","",_xlfn.XLOOKUP($B$5,'_Confronto_Data'!$F$2:$F$17,'_Confronto_Data'!$AN$2:$AN$17,""))</f>
        <v>0</v>
      </c>
      <c r="C26" s="12" cm="1">
        <f t="array" ref="C26">IF($D$5="","",_xlfn.XLOOKUP($D$5,'_Confronto_Data'!$F$2:$F$17,'_Confronto_Data'!$AN$2:$AN$17,""))</f>
        <v>0</v>
      </c>
      <c r="D26" s="12">
        <f>IF(OR(B26="",C26=""),"",B26-C26)</f>
        <v>0</v>
      </c>
    </row>
    <row r="27" spans="1:12">
      <c r="A27" s="11" t="s">
        <v>232</v>
      </c>
      <c r="B27" s="12" cm="1">
        <f t="array" ref="B27">IF($B$5="","",_xlfn.XLOOKUP($B$5,'_Confronto_Data'!$F$2:$F$17,'_Confronto_Data'!$AP$2:$AP$17,""))</f>
        <v>0</v>
      </c>
      <c r="C27" s="12" cm="1">
        <f t="array" ref="C27">IF($D$5="","",_xlfn.XLOOKUP($D$5,'_Confronto_Data'!$F$2:$F$17,'_Confronto_Data'!$AP$2:$AP$17,""))</f>
        <v>0</v>
      </c>
      <c r="D27" s="12">
        <f>IF(OR(B27="",C27=""),"",B27-C27)</f>
        <v>0</v>
      </c>
    </row>
    <row r="28" spans="1:12">
      <c r="A28" s="11" t="s">
        <v>233</v>
      </c>
      <c r="B28" s="12" cm="1">
        <f t="array" ref="B28">IF($B$5="","",_xlfn.XLOOKUP($B$5,'_Confronto_Data'!$F$2:$F$17,'_Confronto_Data'!$AW$2:$AW$17,""))</f>
        <v>0</v>
      </c>
      <c r="C28" s="12" cm="1">
        <f t="array" ref="C28">IF($D$5="","",_xlfn.XLOOKUP($D$5,'_Confronto_Data'!$F$2:$F$17,'_Confronto_Data'!$AW$2:$AW$17,""))</f>
        <v>0</v>
      </c>
      <c r="D28" s="12">
        <f>IF(OR(B28="",C28=""),"",B28-C28)</f>
        <v>0</v>
      </c>
    </row>
    <row r="29" spans="1:12">
      <c r="A29" s="11" t="s">
        <v>234</v>
      </c>
      <c r="B29" s="12" cm="1">
        <f t="array" ref="B29">IF($B$5="","",_xlfn.XLOOKUP($B$5,'_Confronto_Data'!$F$2:$F$17,'_Confronto_Data'!$AY$2:$AY$17,""))</f>
        <v>0</v>
      </c>
      <c r="C29" s="12" cm="1">
        <f t="array" ref="C29">IF($D$5="","",_xlfn.XLOOKUP($D$5,'_Confronto_Data'!$F$2:$F$17,'_Confronto_Data'!$AY$2:$AY$17,""))</f>
        <v>0</v>
      </c>
      <c r="D29" s="12">
        <f>IF(OR(B29="",C29=""),"",B29-C29)</f>
        <v>0</v>
      </c>
    </row>
    <row r="30" spans="1:12">
      <c r="A30" s="11" t="s">
        <v>108</v>
      </c>
      <c r="B30" s="12" cm="1">
        <f t="array" ref="B30">IF($B$5="","",_xlfn.XLOOKUP($B$5,'_Confronto_Data'!$F$2:$F$17,'_Confronto_Data'!$AZ$2:$AZ$17,""))</f>
        <v>0</v>
      </c>
      <c r="C30" s="12" cm="1">
        <f t="array" ref="C30">IF($D$5="","",_xlfn.XLOOKUP($D$5,'_Confronto_Data'!$F$2:$F$17,'_Confronto_Data'!$AZ$2:$AZ$17,""))</f>
        <v>0</v>
      </c>
      <c r="D30" s="12">
        <f>IF(OR(B30="",C30=""),"",B30-C30)</f>
        <v>0</v>
      </c>
    </row>
    <row r="31" spans="1:12">
      <c r="A31" s="6" t="s">
        <v>238</v>
      </c>
    </row>
    <row r="32" spans="1:12">
      <c r="A32" s="3" t="s">
        <v>239</v>
      </c>
      <c r="B32" s="3" t="s">
        <v>240</v>
      </c>
      <c r="C32" s="3" t="s">
        <v>241</v>
      </c>
      <c r="D32" s="3" t="s">
        <v>242</v>
      </c>
      <c r="E32" s="3" t="s">
        <v>243</v>
      </c>
      <c r="F32" s="3" t="s">
        <v>244</v>
      </c>
      <c r="G32" s="3" t="s">
        <v>245</v>
      </c>
      <c r="H32" s="3" t="s">
        <v>246</v>
      </c>
      <c r="I32" s="3" t="s">
        <v>247</v>
      </c>
      <c r="J32" s="3" t="s">
        <v>248</v>
      </c>
      <c r="K32" s="3" t="s">
        <v>249</v>
      </c>
      <c r="L32" s="3" t="s">
        <v>250</v>
      </c>
    </row>
    <row r="33" spans="1:12">
      <c r="A33">
        <v>1</v>
      </c>
      <c r="B33" cm="1">
        <f t="array" ref="B33">_xlfn.XLOOKUP(A33,'_Confronto_Data'!$FO$2:$FO$19,'_Confronto_Data'!$FP$2:$FP$19,"")</f>
        <v>0</v>
      </c>
      <c r="C33" cm="1">
        <f t="array" ref="C33">_xlfn.XLOOKUP(A33,'_Confronto_Data'!$FO$2:$FO$19,'_Confronto_Data'!$FQ$2:$FQ$19,"")</f>
        <v>0</v>
      </c>
      <c r="D33" cm="1">
        <f t="array" ref="D33">_xlfn.XLOOKUP(A33,'_Confronto_Data'!$FO$2:$FO$19,'_Confronto_Data'!$FR$2:$FR$19,"")</f>
        <v>0</v>
      </c>
      <c r="E33">
        <f>IF($B$5="","",SUMIFS('_Confronto_Data'!$DQ$2:$DQ$195,'_Confronto_Data'!$DL$2:$DL$195,$B$5,'_Confronto_Data'!$DM$2:$DM$195,$A33))</f>
        <v>0</v>
      </c>
      <c r="F33">
        <f>IF($B$5="","",SUMIFS('_Confronto_Data'!$DR$2:$DR$195,'_Confronto_Data'!$DL$2:$DL$195,$B$5,'_Confronto_Data'!$DM$2:$DM$195,$A33))</f>
        <v>0</v>
      </c>
      <c r="G33">
        <f>IF($B$5="","",SUMIFS('_Confronto_Data'!$DS$2:$DS$195,'_Confronto_Data'!$DL$2:$DL$195,$B$5,'_Confronto_Data'!$DM$2:$DM$195,$A33))</f>
        <v>0</v>
      </c>
      <c r="H33">
        <f>IF($B$5="","",SUMIFS('_Confronto_Data'!$EC$2:$EC$195,'_Confronto_Data'!$DL$2:$DL$195,$B$5,'_Confronto_Data'!$DM$2:$DM$195,$A33))</f>
        <v>0</v>
      </c>
      <c r="I33">
        <f>IF($D$5="","",SUMIFS('_Confronto_Data'!$DQ$2:$DQ$195,'_Confronto_Data'!$DL$2:$DL$195,$D$5,'_Confronto_Data'!$DM$2:$DM$195,$A33))</f>
        <v>0</v>
      </c>
      <c r="J33">
        <f>IF($D$5="","",SUMIFS('_Confronto_Data'!$DR$2:$DR$195,'_Confronto_Data'!$DL$2:$DL$195,$D$5,'_Confronto_Data'!$DM$2:$DM$195,$A33))</f>
        <v>0</v>
      </c>
      <c r="K33">
        <f>IF($D$5="","",SUMIFS('_Confronto_Data'!$DS$2:$DS$195,'_Confronto_Data'!$DL$2:$DL$195,$D$5,'_Confronto_Data'!$DM$2:$DM$195,$A33))</f>
        <v>0</v>
      </c>
      <c r="L33">
        <f>IF($D$5="","",SUMIFS('_Confronto_Data'!$EC$2:$EC$195,'_Confronto_Data'!$DL$2:$DL$195,$D$5,'_Confronto_Data'!$DM$2:$DM$195,$A33))</f>
        <v>0</v>
      </c>
    </row>
    <row r="34" spans="1:12">
      <c r="A34">
        <v>2</v>
      </c>
      <c r="B34" cm="1">
        <f t="array" ref="B34">_xlfn.XLOOKUP(A34,'_Confronto_Data'!$FO$2:$FO$19,'_Confronto_Data'!$FP$2:$FP$19,"")</f>
        <v>0</v>
      </c>
      <c r="C34" cm="1">
        <f t="array" ref="C34">_xlfn.XLOOKUP(A34,'_Confronto_Data'!$FO$2:$FO$19,'_Confronto_Data'!$FQ$2:$FQ$19,"")</f>
        <v>0</v>
      </c>
      <c r="D34" cm="1">
        <f t="array" ref="D34">_xlfn.XLOOKUP(A34,'_Confronto_Data'!$FO$2:$FO$19,'_Confronto_Data'!$FR$2:$FR$19,"")</f>
        <v>0</v>
      </c>
      <c r="E34">
        <f>IF($B$5="","",SUMIFS('_Confronto_Data'!$DQ$2:$DQ$195,'_Confronto_Data'!$DL$2:$DL$195,$B$5,'_Confronto_Data'!$DM$2:$DM$195,$A34))</f>
        <v>0</v>
      </c>
      <c r="F34">
        <f>IF($B$5="","",SUMIFS('_Confronto_Data'!$DR$2:$DR$195,'_Confronto_Data'!$DL$2:$DL$195,$B$5,'_Confronto_Data'!$DM$2:$DM$195,$A34))</f>
        <v>0</v>
      </c>
      <c r="G34">
        <f>IF($B$5="","",SUMIFS('_Confronto_Data'!$DS$2:$DS$195,'_Confronto_Data'!$DL$2:$DL$195,$B$5,'_Confronto_Data'!$DM$2:$DM$195,$A34))</f>
        <v>0</v>
      </c>
      <c r="H34">
        <f>IF($B$5="","",SUMIFS('_Confronto_Data'!$EC$2:$EC$195,'_Confronto_Data'!$DL$2:$DL$195,$B$5,'_Confronto_Data'!$DM$2:$DM$195,$A34))</f>
        <v>0</v>
      </c>
      <c r="I34">
        <f>IF($D$5="","",SUMIFS('_Confronto_Data'!$DQ$2:$DQ$195,'_Confronto_Data'!$DL$2:$DL$195,$D$5,'_Confronto_Data'!$DM$2:$DM$195,$A34))</f>
        <v>0</v>
      </c>
      <c r="J34">
        <f>IF($D$5="","",SUMIFS('_Confronto_Data'!$DR$2:$DR$195,'_Confronto_Data'!$DL$2:$DL$195,$D$5,'_Confronto_Data'!$DM$2:$DM$195,$A34))</f>
        <v>0</v>
      </c>
      <c r="K34">
        <f>IF($D$5="","",SUMIFS('_Confronto_Data'!$DS$2:$DS$195,'_Confronto_Data'!$DL$2:$DL$195,$D$5,'_Confronto_Data'!$DM$2:$DM$195,$A34))</f>
        <v>0</v>
      </c>
      <c r="L34">
        <f>IF($D$5="","",SUMIFS('_Confronto_Data'!$EC$2:$EC$195,'_Confronto_Data'!$DL$2:$DL$195,$D$5,'_Confronto_Data'!$DM$2:$DM$195,$A34))</f>
        <v>0</v>
      </c>
    </row>
    <row r="35" spans="1:12">
      <c r="A35">
        <v>3</v>
      </c>
      <c r="B35" cm="1">
        <f t="array" ref="B35">_xlfn.XLOOKUP(A35,'_Confronto_Data'!$FO$2:$FO$19,'_Confronto_Data'!$FP$2:$FP$19,"")</f>
        <v>0</v>
      </c>
      <c r="C35" cm="1">
        <f t="array" ref="C35">_xlfn.XLOOKUP(A35,'_Confronto_Data'!$FO$2:$FO$19,'_Confronto_Data'!$FQ$2:$FQ$19,"")</f>
        <v>0</v>
      </c>
      <c r="D35" cm="1">
        <f t="array" ref="D35">_xlfn.XLOOKUP(A35,'_Confronto_Data'!$FO$2:$FO$19,'_Confronto_Data'!$FR$2:$FR$19,"")</f>
        <v>0</v>
      </c>
      <c r="E35">
        <f>IF($B$5="","",SUMIFS('_Confronto_Data'!$DQ$2:$DQ$195,'_Confronto_Data'!$DL$2:$DL$195,$B$5,'_Confronto_Data'!$DM$2:$DM$195,$A35))</f>
        <v>0</v>
      </c>
      <c r="F35">
        <f>IF($B$5="","",SUMIFS('_Confronto_Data'!$DR$2:$DR$195,'_Confronto_Data'!$DL$2:$DL$195,$B$5,'_Confronto_Data'!$DM$2:$DM$195,$A35))</f>
        <v>0</v>
      </c>
      <c r="G35">
        <f>IF($B$5="","",SUMIFS('_Confronto_Data'!$DS$2:$DS$195,'_Confronto_Data'!$DL$2:$DL$195,$B$5,'_Confronto_Data'!$DM$2:$DM$195,$A35))</f>
        <v>0</v>
      </c>
      <c r="H35">
        <f>IF($B$5="","",SUMIFS('_Confronto_Data'!$EC$2:$EC$195,'_Confronto_Data'!$DL$2:$DL$195,$B$5,'_Confronto_Data'!$DM$2:$DM$195,$A35))</f>
        <v>0</v>
      </c>
      <c r="I35">
        <f>IF($D$5="","",SUMIFS('_Confronto_Data'!$DQ$2:$DQ$195,'_Confronto_Data'!$DL$2:$DL$195,$D$5,'_Confronto_Data'!$DM$2:$DM$195,$A35))</f>
        <v>0</v>
      </c>
      <c r="J35">
        <f>IF($D$5="","",SUMIFS('_Confronto_Data'!$DR$2:$DR$195,'_Confronto_Data'!$DL$2:$DL$195,$D$5,'_Confronto_Data'!$DM$2:$DM$195,$A35))</f>
        <v>0</v>
      </c>
      <c r="K35">
        <f>IF($D$5="","",SUMIFS('_Confronto_Data'!$DS$2:$DS$195,'_Confronto_Data'!$DL$2:$DL$195,$D$5,'_Confronto_Data'!$DM$2:$DM$195,$A35))</f>
        <v>0</v>
      </c>
      <c r="L35">
        <f>IF($D$5="","",SUMIFS('_Confronto_Data'!$EC$2:$EC$195,'_Confronto_Data'!$DL$2:$DL$195,$D$5,'_Confronto_Data'!$DM$2:$DM$195,$A35))</f>
        <v>0</v>
      </c>
    </row>
    <row r="36" spans="1:12">
      <c r="A36">
        <v>4</v>
      </c>
      <c r="B36" cm="1">
        <f t="array" ref="B36">_xlfn.XLOOKUP(A36,'_Confronto_Data'!$FO$2:$FO$19,'_Confronto_Data'!$FP$2:$FP$19,"")</f>
        <v>0</v>
      </c>
      <c r="C36" cm="1">
        <f t="array" ref="C36">_xlfn.XLOOKUP(A36,'_Confronto_Data'!$FO$2:$FO$19,'_Confronto_Data'!$FQ$2:$FQ$19,"")</f>
        <v>0</v>
      </c>
      <c r="D36" cm="1">
        <f t="array" ref="D36">_xlfn.XLOOKUP(A36,'_Confronto_Data'!$FO$2:$FO$19,'_Confronto_Data'!$FR$2:$FR$19,"")</f>
        <v>0</v>
      </c>
      <c r="E36">
        <f>IF($B$5="","",SUMIFS('_Confronto_Data'!$DQ$2:$DQ$195,'_Confronto_Data'!$DL$2:$DL$195,$B$5,'_Confronto_Data'!$DM$2:$DM$195,$A36))</f>
        <v>0</v>
      </c>
      <c r="F36">
        <f>IF($B$5="","",SUMIFS('_Confronto_Data'!$DR$2:$DR$195,'_Confronto_Data'!$DL$2:$DL$195,$B$5,'_Confronto_Data'!$DM$2:$DM$195,$A36))</f>
        <v>0</v>
      </c>
      <c r="G36">
        <f>IF($B$5="","",SUMIFS('_Confronto_Data'!$DS$2:$DS$195,'_Confronto_Data'!$DL$2:$DL$195,$B$5,'_Confronto_Data'!$DM$2:$DM$195,$A36))</f>
        <v>0</v>
      </c>
      <c r="H36">
        <f>IF($B$5="","",SUMIFS('_Confronto_Data'!$EC$2:$EC$195,'_Confronto_Data'!$DL$2:$DL$195,$B$5,'_Confronto_Data'!$DM$2:$DM$195,$A36))</f>
        <v>0</v>
      </c>
      <c r="I36">
        <f>IF($D$5="","",SUMIFS('_Confronto_Data'!$DQ$2:$DQ$195,'_Confronto_Data'!$DL$2:$DL$195,$D$5,'_Confronto_Data'!$DM$2:$DM$195,$A36))</f>
        <v>0</v>
      </c>
      <c r="J36">
        <f>IF($D$5="","",SUMIFS('_Confronto_Data'!$DR$2:$DR$195,'_Confronto_Data'!$DL$2:$DL$195,$D$5,'_Confronto_Data'!$DM$2:$DM$195,$A36))</f>
        <v>0</v>
      </c>
      <c r="K36">
        <f>IF($D$5="","",SUMIFS('_Confronto_Data'!$DS$2:$DS$195,'_Confronto_Data'!$DL$2:$DL$195,$D$5,'_Confronto_Data'!$DM$2:$DM$195,$A36))</f>
        <v>0</v>
      </c>
      <c r="L36">
        <f>IF($D$5="","",SUMIFS('_Confronto_Data'!$EC$2:$EC$195,'_Confronto_Data'!$DL$2:$DL$195,$D$5,'_Confronto_Data'!$DM$2:$DM$195,$A36))</f>
        <v>0</v>
      </c>
    </row>
    <row r="37" spans="1:12">
      <c r="A37">
        <v>5</v>
      </c>
      <c r="B37" cm="1">
        <f t="array" ref="B37">_xlfn.XLOOKUP(A37,'_Confronto_Data'!$FO$2:$FO$19,'_Confronto_Data'!$FP$2:$FP$19,"")</f>
        <v>0</v>
      </c>
      <c r="C37" cm="1">
        <f t="array" ref="C37">_xlfn.XLOOKUP(A37,'_Confronto_Data'!$FO$2:$FO$19,'_Confronto_Data'!$FQ$2:$FQ$19,"")</f>
        <v>0</v>
      </c>
      <c r="D37" cm="1">
        <f t="array" ref="D37">_xlfn.XLOOKUP(A37,'_Confronto_Data'!$FO$2:$FO$19,'_Confronto_Data'!$FR$2:$FR$19,"")</f>
        <v>0</v>
      </c>
      <c r="E37">
        <f>IF($B$5="","",SUMIFS('_Confronto_Data'!$DQ$2:$DQ$195,'_Confronto_Data'!$DL$2:$DL$195,$B$5,'_Confronto_Data'!$DM$2:$DM$195,$A37))</f>
        <v>0</v>
      </c>
      <c r="F37">
        <f>IF($B$5="","",SUMIFS('_Confronto_Data'!$DR$2:$DR$195,'_Confronto_Data'!$DL$2:$DL$195,$B$5,'_Confronto_Data'!$DM$2:$DM$195,$A37))</f>
        <v>0</v>
      </c>
      <c r="G37">
        <f>IF($B$5="","",SUMIFS('_Confronto_Data'!$DS$2:$DS$195,'_Confronto_Data'!$DL$2:$DL$195,$B$5,'_Confronto_Data'!$DM$2:$DM$195,$A37))</f>
        <v>0</v>
      </c>
      <c r="H37">
        <f>IF($B$5="","",SUMIFS('_Confronto_Data'!$EC$2:$EC$195,'_Confronto_Data'!$DL$2:$DL$195,$B$5,'_Confronto_Data'!$DM$2:$DM$195,$A37))</f>
        <v>0</v>
      </c>
      <c r="I37">
        <f>IF($D$5="","",SUMIFS('_Confronto_Data'!$DQ$2:$DQ$195,'_Confronto_Data'!$DL$2:$DL$195,$D$5,'_Confronto_Data'!$DM$2:$DM$195,$A37))</f>
        <v>0</v>
      </c>
      <c r="J37">
        <f>IF($D$5="","",SUMIFS('_Confronto_Data'!$DR$2:$DR$195,'_Confronto_Data'!$DL$2:$DL$195,$D$5,'_Confronto_Data'!$DM$2:$DM$195,$A37))</f>
        <v>0</v>
      </c>
      <c r="K37">
        <f>IF($D$5="","",SUMIFS('_Confronto_Data'!$DS$2:$DS$195,'_Confronto_Data'!$DL$2:$DL$195,$D$5,'_Confronto_Data'!$DM$2:$DM$195,$A37))</f>
        <v>0</v>
      </c>
      <c r="L37">
        <f>IF($D$5="","",SUMIFS('_Confronto_Data'!$EC$2:$EC$195,'_Confronto_Data'!$DL$2:$DL$195,$D$5,'_Confronto_Data'!$DM$2:$DM$195,$A37))</f>
        <v>0</v>
      </c>
    </row>
    <row r="38" spans="1:12">
      <c r="A38">
        <v>6</v>
      </c>
      <c r="B38" cm="1">
        <f t="array" ref="B38">_xlfn.XLOOKUP(A38,'_Confronto_Data'!$FO$2:$FO$19,'_Confronto_Data'!$FP$2:$FP$19,"")</f>
        <v>0</v>
      </c>
      <c r="C38" cm="1">
        <f t="array" ref="C38">_xlfn.XLOOKUP(A38,'_Confronto_Data'!$FO$2:$FO$19,'_Confronto_Data'!$FQ$2:$FQ$19,"")</f>
        <v>0</v>
      </c>
      <c r="D38" cm="1">
        <f t="array" ref="D38">_xlfn.XLOOKUP(A38,'_Confronto_Data'!$FO$2:$FO$19,'_Confronto_Data'!$FR$2:$FR$19,"")</f>
        <v>0</v>
      </c>
      <c r="E38">
        <f>IF($B$5="","",SUMIFS('_Confronto_Data'!$DQ$2:$DQ$195,'_Confronto_Data'!$DL$2:$DL$195,$B$5,'_Confronto_Data'!$DM$2:$DM$195,$A38))</f>
        <v>0</v>
      </c>
      <c r="F38">
        <f>IF($B$5="","",SUMIFS('_Confronto_Data'!$DR$2:$DR$195,'_Confronto_Data'!$DL$2:$DL$195,$B$5,'_Confronto_Data'!$DM$2:$DM$195,$A38))</f>
        <v>0</v>
      </c>
      <c r="G38">
        <f>IF($B$5="","",SUMIFS('_Confronto_Data'!$DS$2:$DS$195,'_Confronto_Data'!$DL$2:$DL$195,$B$5,'_Confronto_Data'!$DM$2:$DM$195,$A38))</f>
        <v>0</v>
      </c>
      <c r="H38">
        <f>IF($B$5="","",SUMIFS('_Confronto_Data'!$EC$2:$EC$195,'_Confronto_Data'!$DL$2:$DL$195,$B$5,'_Confronto_Data'!$DM$2:$DM$195,$A38))</f>
        <v>0</v>
      </c>
      <c r="I38">
        <f>IF($D$5="","",SUMIFS('_Confronto_Data'!$DQ$2:$DQ$195,'_Confronto_Data'!$DL$2:$DL$195,$D$5,'_Confronto_Data'!$DM$2:$DM$195,$A38))</f>
        <v>0</v>
      </c>
      <c r="J38">
        <f>IF($D$5="","",SUMIFS('_Confronto_Data'!$DR$2:$DR$195,'_Confronto_Data'!$DL$2:$DL$195,$D$5,'_Confronto_Data'!$DM$2:$DM$195,$A38))</f>
        <v>0</v>
      </c>
      <c r="K38">
        <f>IF($D$5="","",SUMIFS('_Confronto_Data'!$DS$2:$DS$195,'_Confronto_Data'!$DL$2:$DL$195,$D$5,'_Confronto_Data'!$DM$2:$DM$195,$A38))</f>
        <v>0</v>
      </c>
      <c r="L38">
        <f>IF($D$5="","",SUMIFS('_Confronto_Data'!$EC$2:$EC$195,'_Confronto_Data'!$DL$2:$DL$195,$D$5,'_Confronto_Data'!$DM$2:$DM$195,$A38))</f>
        <v>0</v>
      </c>
    </row>
    <row r="39" spans="1:12">
      <c r="A39">
        <v>7</v>
      </c>
      <c r="B39" cm="1">
        <f t="array" ref="B39">_xlfn.XLOOKUP(A39,'_Confronto_Data'!$FO$2:$FO$19,'_Confronto_Data'!$FP$2:$FP$19,"")</f>
        <v>0</v>
      </c>
      <c r="C39" cm="1">
        <f t="array" ref="C39">_xlfn.XLOOKUP(A39,'_Confronto_Data'!$FO$2:$FO$19,'_Confronto_Data'!$FQ$2:$FQ$19,"")</f>
        <v>0</v>
      </c>
      <c r="D39" cm="1">
        <f t="array" ref="D39">_xlfn.XLOOKUP(A39,'_Confronto_Data'!$FO$2:$FO$19,'_Confronto_Data'!$FR$2:$FR$19,"")</f>
        <v>0</v>
      </c>
      <c r="E39">
        <f>IF($B$5="","",SUMIFS('_Confronto_Data'!$DQ$2:$DQ$195,'_Confronto_Data'!$DL$2:$DL$195,$B$5,'_Confronto_Data'!$DM$2:$DM$195,$A39))</f>
        <v>0</v>
      </c>
      <c r="F39">
        <f>IF($B$5="","",SUMIFS('_Confronto_Data'!$DR$2:$DR$195,'_Confronto_Data'!$DL$2:$DL$195,$B$5,'_Confronto_Data'!$DM$2:$DM$195,$A39))</f>
        <v>0</v>
      </c>
      <c r="G39">
        <f>IF($B$5="","",SUMIFS('_Confronto_Data'!$DS$2:$DS$195,'_Confronto_Data'!$DL$2:$DL$195,$B$5,'_Confronto_Data'!$DM$2:$DM$195,$A39))</f>
        <v>0</v>
      </c>
      <c r="H39">
        <f>IF($B$5="","",SUMIFS('_Confronto_Data'!$EC$2:$EC$195,'_Confronto_Data'!$DL$2:$DL$195,$B$5,'_Confronto_Data'!$DM$2:$DM$195,$A39))</f>
        <v>0</v>
      </c>
      <c r="I39">
        <f>IF($D$5="","",SUMIFS('_Confronto_Data'!$DQ$2:$DQ$195,'_Confronto_Data'!$DL$2:$DL$195,$D$5,'_Confronto_Data'!$DM$2:$DM$195,$A39))</f>
        <v>0</v>
      </c>
      <c r="J39">
        <f>IF($D$5="","",SUMIFS('_Confronto_Data'!$DR$2:$DR$195,'_Confronto_Data'!$DL$2:$DL$195,$D$5,'_Confronto_Data'!$DM$2:$DM$195,$A39))</f>
        <v>0</v>
      </c>
      <c r="K39">
        <f>IF($D$5="","",SUMIFS('_Confronto_Data'!$DS$2:$DS$195,'_Confronto_Data'!$DL$2:$DL$195,$D$5,'_Confronto_Data'!$DM$2:$DM$195,$A39))</f>
        <v>0</v>
      </c>
      <c r="L39">
        <f>IF($D$5="","",SUMIFS('_Confronto_Data'!$EC$2:$EC$195,'_Confronto_Data'!$DL$2:$DL$195,$D$5,'_Confronto_Data'!$DM$2:$DM$195,$A39))</f>
        <v>0</v>
      </c>
    </row>
    <row r="40" spans="1:12">
      <c r="A40">
        <v>8</v>
      </c>
      <c r="B40" cm="1">
        <f t="array" ref="B40">_xlfn.XLOOKUP(A40,'_Confronto_Data'!$FO$2:$FO$19,'_Confronto_Data'!$FP$2:$FP$19,"")</f>
        <v>0</v>
      </c>
      <c r="C40" cm="1">
        <f t="array" ref="C40">_xlfn.XLOOKUP(A40,'_Confronto_Data'!$FO$2:$FO$19,'_Confronto_Data'!$FQ$2:$FQ$19,"")</f>
        <v>0</v>
      </c>
      <c r="D40" cm="1">
        <f t="array" ref="D40">_xlfn.XLOOKUP(A40,'_Confronto_Data'!$FO$2:$FO$19,'_Confronto_Data'!$FR$2:$FR$19,"")</f>
        <v>0</v>
      </c>
      <c r="E40">
        <f>IF($B$5="","",SUMIFS('_Confronto_Data'!$DQ$2:$DQ$195,'_Confronto_Data'!$DL$2:$DL$195,$B$5,'_Confronto_Data'!$DM$2:$DM$195,$A40))</f>
        <v>0</v>
      </c>
      <c r="F40">
        <f>IF($B$5="","",SUMIFS('_Confronto_Data'!$DR$2:$DR$195,'_Confronto_Data'!$DL$2:$DL$195,$B$5,'_Confronto_Data'!$DM$2:$DM$195,$A40))</f>
        <v>0</v>
      </c>
      <c r="G40">
        <f>IF($B$5="","",SUMIFS('_Confronto_Data'!$DS$2:$DS$195,'_Confronto_Data'!$DL$2:$DL$195,$B$5,'_Confronto_Data'!$DM$2:$DM$195,$A40))</f>
        <v>0</v>
      </c>
      <c r="H40">
        <f>IF($B$5="","",SUMIFS('_Confronto_Data'!$EC$2:$EC$195,'_Confronto_Data'!$DL$2:$DL$195,$B$5,'_Confronto_Data'!$DM$2:$DM$195,$A40))</f>
        <v>0</v>
      </c>
      <c r="I40">
        <f>IF($D$5="","",SUMIFS('_Confronto_Data'!$DQ$2:$DQ$195,'_Confronto_Data'!$DL$2:$DL$195,$D$5,'_Confronto_Data'!$DM$2:$DM$195,$A40))</f>
        <v>0</v>
      </c>
      <c r="J40">
        <f>IF($D$5="","",SUMIFS('_Confronto_Data'!$DR$2:$DR$195,'_Confronto_Data'!$DL$2:$DL$195,$D$5,'_Confronto_Data'!$DM$2:$DM$195,$A40))</f>
        <v>0</v>
      </c>
      <c r="K40">
        <f>IF($D$5="","",SUMIFS('_Confronto_Data'!$DS$2:$DS$195,'_Confronto_Data'!$DL$2:$DL$195,$D$5,'_Confronto_Data'!$DM$2:$DM$195,$A40))</f>
        <v>0</v>
      </c>
      <c r="L40">
        <f>IF($D$5="","",SUMIFS('_Confronto_Data'!$EC$2:$EC$195,'_Confronto_Data'!$DL$2:$DL$195,$D$5,'_Confronto_Data'!$DM$2:$DM$195,$A40))</f>
        <v>0</v>
      </c>
    </row>
    <row r="41" spans="1:12">
      <c r="A41">
        <v>9</v>
      </c>
      <c r="B41" cm="1">
        <f t="array" ref="B41">_xlfn.XLOOKUP(A41,'_Confronto_Data'!$FO$2:$FO$19,'_Confronto_Data'!$FP$2:$FP$19,"")</f>
        <v>0</v>
      </c>
      <c r="C41" cm="1">
        <f t="array" ref="C41">_xlfn.XLOOKUP(A41,'_Confronto_Data'!$FO$2:$FO$19,'_Confronto_Data'!$FQ$2:$FQ$19,"")</f>
        <v>0</v>
      </c>
      <c r="D41" cm="1">
        <f t="array" ref="D41">_xlfn.XLOOKUP(A41,'_Confronto_Data'!$FO$2:$FO$19,'_Confronto_Data'!$FR$2:$FR$19,"")</f>
        <v>0</v>
      </c>
      <c r="E41">
        <f>IF($B$5="","",SUMIFS('_Confronto_Data'!$DQ$2:$DQ$195,'_Confronto_Data'!$DL$2:$DL$195,$B$5,'_Confronto_Data'!$DM$2:$DM$195,$A41))</f>
        <v>0</v>
      </c>
      <c r="F41">
        <f>IF($B$5="","",SUMIFS('_Confronto_Data'!$DR$2:$DR$195,'_Confronto_Data'!$DL$2:$DL$195,$B$5,'_Confronto_Data'!$DM$2:$DM$195,$A41))</f>
        <v>0</v>
      </c>
      <c r="G41">
        <f>IF($B$5="","",SUMIFS('_Confronto_Data'!$DS$2:$DS$195,'_Confronto_Data'!$DL$2:$DL$195,$B$5,'_Confronto_Data'!$DM$2:$DM$195,$A41))</f>
        <v>0</v>
      </c>
      <c r="H41">
        <f>IF($B$5="","",SUMIFS('_Confronto_Data'!$EC$2:$EC$195,'_Confronto_Data'!$DL$2:$DL$195,$B$5,'_Confronto_Data'!$DM$2:$DM$195,$A41))</f>
        <v>0</v>
      </c>
      <c r="I41">
        <f>IF($D$5="","",SUMIFS('_Confronto_Data'!$DQ$2:$DQ$195,'_Confronto_Data'!$DL$2:$DL$195,$D$5,'_Confronto_Data'!$DM$2:$DM$195,$A41))</f>
        <v>0</v>
      </c>
      <c r="J41">
        <f>IF($D$5="","",SUMIFS('_Confronto_Data'!$DR$2:$DR$195,'_Confronto_Data'!$DL$2:$DL$195,$D$5,'_Confronto_Data'!$DM$2:$DM$195,$A41))</f>
        <v>0</v>
      </c>
      <c r="K41">
        <f>IF($D$5="","",SUMIFS('_Confronto_Data'!$DS$2:$DS$195,'_Confronto_Data'!$DL$2:$DL$195,$D$5,'_Confronto_Data'!$DM$2:$DM$195,$A41))</f>
        <v>0</v>
      </c>
      <c r="L41">
        <f>IF($D$5="","",SUMIFS('_Confronto_Data'!$EC$2:$EC$195,'_Confronto_Data'!$DL$2:$DL$195,$D$5,'_Confronto_Data'!$DM$2:$DM$195,$A41))</f>
        <v>0</v>
      </c>
    </row>
    <row r="42" spans="1:12">
      <c r="A42">
        <v>10</v>
      </c>
      <c r="B42" cm="1">
        <f t="array" ref="B42">_xlfn.XLOOKUP(A42,'_Confronto_Data'!$FO$2:$FO$19,'_Confronto_Data'!$FP$2:$FP$19,"")</f>
        <v>0</v>
      </c>
      <c r="C42" cm="1">
        <f t="array" ref="C42">_xlfn.XLOOKUP(A42,'_Confronto_Data'!$FO$2:$FO$19,'_Confronto_Data'!$FQ$2:$FQ$19,"")</f>
        <v>0</v>
      </c>
      <c r="D42" cm="1">
        <f t="array" ref="D42">_xlfn.XLOOKUP(A42,'_Confronto_Data'!$FO$2:$FO$19,'_Confronto_Data'!$FR$2:$FR$19,"")</f>
        <v>0</v>
      </c>
      <c r="E42">
        <f>IF($B$5="","",SUMIFS('_Confronto_Data'!$DQ$2:$DQ$195,'_Confronto_Data'!$DL$2:$DL$195,$B$5,'_Confronto_Data'!$DM$2:$DM$195,$A42))</f>
        <v>0</v>
      </c>
      <c r="F42">
        <f>IF($B$5="","",SUMIFS('_Confronto_Data'!$DR$2:$DR$195,'_Confronto_Data'!$DL$2:$DL$195,$B$5,'_Confronto_Data'!$DM$2:$DM$195,$A42))</f>
        <v>0</v>
      </c>
      <c r="G42">
        <f>IF($B$5="","",SUMIFS('_Confronto_Data'!$DS$2:$DS$195,'_Confronto_Data'!$DL$2:$DL$195,$B$5,'_Confronto_Data'!$DM$2:$DM$195,$A42))</f>
        <v>0</v>
      </c>
      <c r="H42">
        <f>IF($B$5="","",SUMIFS('_Confronto_Data'!$EC$2:$EC$195,'_Confronto_Data'!$DL$2:$DL$195,$B$5,'_Confronto_Data'!$DM$2:$DM$195,$A42))</f>
        <v>0</v>
      </c>
      <c r="I42">
        <f>IF($D$5="","",SUMIFS('_Confronto_Data'!$DQ$2:$DQ$195,'_Confronto_Data'!$DL$2:$DL$195,$D$5,'_Confronto_Data'!$DM$2:$DM$195,$A42))</f>
        <v>0</v>
      </c>
      <c r="J42">
        <f>IF($D$5="","",SUMIFS('_Confronto_Data'!$DR$2:$DR$195,'_Confronto_Data'!$DL$2:$DL$195,$D$5,'_Confronto_Data'!$DM$2:$DM$195,$A42))</f>
        <v>0</v>
      </c>
      <c r="K42">
        <f>IF($D$5="","",SUMIFS('_Confronto_Data'!$DS$2:$DS$195,'_Confronto_Data'!$DL$2:$DL$195,$D$5,'_Confronto_Data'!$DM$2:$DM$195,$A42))</f>
        <v>0</v>
      </c>
      <c r="L42">
        <f>IF($D$5="","",SUMIFS('_Confronto_Data'!$EC$2:$EC$195,'_Confronto_Data'!$DL$2:$DL$195,$D$5,'_Confronto_Data'!$DM$2:$DM$195,$A42))</f>
        <v>0</v>
      </c>
    </row>
    <row r="43" spans="1:12">
      <c r="A43">
        <v>11</v>
      </c>
      <c r="B43" cm="1">
        <f t="array" ref="B43">_xlfn.XLOOKUP(A43,'_Confronto_Data'!$FO$2:$FO$19,'_Confronto_Data'!$FP$2:$FP$19,"")</f>
        <v>0</v>
      </c>
      <c r="C43" cm="1">
        <f t="array" ref="C43">_xlfn.XLOOKUP(A43,'_Confronto_Data'!$FO$2:$FO$19,'_Confronto_Data'!$FQ$2:$FQ$19,"")</f>
        <v>0</v>
      </c>
      <c r="D43" cm="1">
        <f t="array" ref="D43">_xlfn.XLOOKUP(A43,'_Confronto_Data'!$FO$2:$FO$19,'_Confronto_Data'!$FR$2:$FR$19,"")</f>
        <v>0</v>
      </c>
      <c r="E43">
        <f>IF($B$5="","",SUMIFS('_Confronto_Data'!$DQ$2:$DQ$195,'_Confronto_Data'!$DL$2:$DL$195,$B$5,'_Confronto_Data'!$DM$2:$DM$195,$A43))</f>
        <v>0</v>
      </c>
      <c r="F43">
        <f>IF($B$5="","",SUMIFS('_Confronto_Data'!$DR$2:$DR$195,'_Confronto_Data'!$DL$2:$DL$195,$B$5,'_Confronto_Data'!$DM$2:$DM$195,$A43))</f>
        <v>0</v>
      </c>
      <c r="G43">
        <f>IF($B$5="","",SUMIFS('_Confronto_Data'!$DS$2:$DS$195,'_Confronto_Data'!$DL$2:$DL$195,$B$5,'_Confronto_Data'!$DM$2:$DM$195,$A43))</f>
        <v>0</v>
      </c>
      <c r="H43">
        <f>IF($B$5="","",SUMIFS('_Confronto_Data'!$EC$2:$EC$195,'_Confronto_Data'!$DL$2:$DL$195,$B$5,'_Confronto_Data'!$DM$2:$DM$195,$A43))</f>
        <v>0</v>
      </c>
      <c r="I43">
        <f>IF($D$5="","",SUMIFS('_Confronto_Data'!$DQ$2:$DQ$195,'_Confronto_Data'!$DL$2:$DL$195,$D$5,'_Confronto_Data'!$DM$2:$DM$195,$A43))</f>
        <v>0</v>
      </c>
      <c r="J43">
        <f>IF($D$5="","",SUMIFS('_Confronto_Data'!$DR$2:$DR$195,'_Confronto_Data'!$DL$2:$DL$195,$D$5,'_Confronto_Data'!$DM$2:$DM$195,$A43))</f>
        <v>0</v>
      </c>
      <c r="K43">
        <f>IF($D$5="","",SUMIFS('_Confronto_Data'!$DS$2:$DS$195,'_Confronto_Data'!$DL$2:$DL$195,$D$5,'_Confronto_Data'!$DM$2:$DM$195,$A43))</f>
        <v>0</v>
      </c>
      <c r="L43">
        <f>IF($D$5="","",SUMIFS('_Confronto_Data'!$EC$2:$EC$195,'_Confronto_Data'!$DL$2:$DL$195,$D$5,'_Confronto_Data'!$DM$2:$DM$195,$A43))</f>
        <v>0</v>
      </c>
    </row>
    <row r="44" spans="1:12">
      <c r="A44">
        <v>12</v>
      </c>
      <c r="B44" cm="1">
        <f t="array" ref="B44">_xlfn.XLOOKUP(A44,'_Confronto_Data'!$FO$2:$FO$19,'_Confronto_Data'!$FP$2:$FP$19,"")</f>
        <v>0</v>
      </c>
      <c r="C44" cm="1">
        <f t="array" ref="C44">_xlfn.XLOOKUP(A44,'_Confronto_Data'!$FO$2:$FO$19,'_Confronto_Data'!$FQ$2:$FQ$19,"")</f>
        <v>0</v>
      </c>
      <c r="D44" cm="1">
        <f t="array" ref="D44">_xlfn.XLOOKUP(A44,'_Confronto_Data'!$FO$2:$FO$19,'_Confronto_Data'!$FR$2:$FR$19,"")</f>
        <v>0</v>
      </c>
      <c r="E44">
        <f>IF($B$5="","",SUMIFS('_Confronto_Data'!$DQ$2:$DQ$195,'_Confronto_Data'!$DL$2:$DL$195,$B$5,'_Confronto_Data'!$DM$2:$DM$195,$A44))</f>
        <v>0</v>
      </c>
      <c r="F44">
        <f>IF($B$5="","",SUMIFS('_Confronto_Data'!$DR$2:$DR$195,'_Confronto_Data'!$DL$2:$DL$195,$B$5,'_Confronto_Data'!$DM$2:$DM$195,$A44))</f>
        <v>0</v>
      </c>
      <c r="G44">
        <f>IF($B$5="","",SUMIFS('_Confronto_Data'!$DS$2:$DS$195,'_Confronto_Data'!$DL$2:$DL$195,$B$5,'_Confronto_Data'!$DM$2:$DM$195,$A44))</f>
        <v>0</v>
      </c>
      <c r="H44">
        <f>IF($B$5="","",SUMIFS('_Confronto_Data'!$EC$2:$EC$195,'_Confronto_Data'!$DL$2:$DL$195,$B$5,'_Confronto_Data'!$DM$2:$DM$195,$A44))</f>
        <v>0</v>
      </c>
      <c r="I44">
        <f>IF($D$5="","",SUMIFS('_Confronto_Data'!$DQ$2:$DQ$195,'_Confronto_Data'!$DL$2:$DL$195,$D$5,'_Confronto_Data'!$DM$2:$DM$195,$A44))</f>
        <v>0</v>
      </c>
      <c r="J44">
        <f>IF($D$5="","",SUMIFS('_Confronto_Data'!$DR$2:$DR$195,'_Confronto_Data'!$DL$2:$DL$195,$D$5,'_Confronto_Data'!$DM$2:$DM$195,$A44))</f>
        <v>0</v>
      </c>
      <c r="K44">
        <f>IF($D$5="","",SUMIFS('_Confronto_Data'!$DS$2:$DS$195,'_Confronto_Data'!$DL$2:$DL$195,$D$5,'_Confronto_Data'!$DM$2:$DM$195,$A44))</f>
        <v>0</v>
      </c>
      <c r="L44">
        <f>IF($D$5="","",SUMIFS('_Confronto_Data'!$EC$2:$EC$195,'_Confronto_Data'!$DL$2:$DL$195,$D$5,'_Confronto_Data'!$DM$2:$DM$195,$A44))</f>
        <v>0</v>
      </c>
    </row>
    <row r="45" spans="1:12">
      <c r="A45">
        <v>13</v>
      </c>
      <c r="B45" cm="1">
        <f t="array" ref="B45">_xlfn.XLOOKUP(A45,'_Confronto_Data'!$FO$2:$FO$19,'_Confronto_Data'!$FP$2:$FP$19,"")</f>
        <v>0</v>
      </c>
      <c r="C45" cm="1">
        <f t="array" ref="C45">_xlfn.XLOOKUP(A45,'_Confronto_Data'!$FO$2:$FO$19,'_Confronto_Data'!$FQ$2:$FQ$19,"")</f>
        <v>0</v>
      </c>
      <c r="D45" cm="1">
        <f t="array" ref="D45">_xlfn.XLOOKUP(A45,'_Confronto_Data'!$FO$2:$FO$19,'_Confronto_Data'!$FR$2:$FR$19,"")</f>
        <v>0</v>
      </c>
      <c r="E45">
        <f>IF($B$5="","",SUMIFS('_Confronto_Data'!$DQ$2:$DQ$195,'_Confronto_Data'!$DL$2:$DL$195,$B$5,'_Confronto_Data'!$DM$2:$DM$195,$A45))</f>
        <v>0</v>
      </c>
      <c r="F45">
        <f>IF($B$5="","",SUMIFS('_Confronto_Data'!$DR$2:$DR$195,'_Confronto_Data'!$DL$2:$DL$195,$B$5,'_Confronto_Data'!$DM$2:$DM$195,$A45))</f>
        <v>0</v>
      </c>
      <c r="G45">
        <f>IF($B$5="","",SUMIFS('_Confronto_Data'!$DS$2:$DS$195,'_Confronto_Data'!$DL$2:$DL$195,$B$5,'_Confronto_Data'!$DM$2:$DM$195,$A45))</f>
        <v>0</v>
      </c>
      <c r="H45">
        <f>IF($B$5="","",SUMIFS('_Confronto_Data'!$EC$2:$EC$195,'_Confronto_Data'!$DL$2:$DL$195,$B$5,'_Confronto_Data'!$DM$2:$DM$195,$A45))</f>
        <v>0</v>
      </c>
      <c r="I45">
        <f>IF($D$5="","",SUMIFS('_Confronto_Data'!$DQ$2:$DQ$195,'_Confronto_Data'!$DL$2:$DL$195,$D$5,'_Confronto_Data'!$DM$2:$DM$195,$A45))</f>
        <v>0</v>
      </c>
      <c r="J45">
        <f>IF($D$5="","",SUMIFS('_Confronto_Data'!$DR$2:$DR$195,'_Confronto_Data'!$DL$2:$DL$195,$D$5,'_Confronto_Data'!$DM$2:$DM$195,$A45))</f>
        <v>0</v>
      </c>
      <c r="K45">
        <f>IF($D$5="","",SUMIFS('_Confronto_Data'!$DS$2:$DS$195,'_Confronto_Data'!$DL$2:$DL$195,$D$5,'_Confronto_Data'!$DM$2:$DM$195,$A45))</f>
        <v>0</v>
      </c>
      <c r="L45">
        <f>IF($D$5="","",SUMIFS('_Confronto_Data'!$EC$2:$EC$195,'_Confronto_Data'!$DL$2:$DL$195,$D$5,'_Confronto_Data'!$DM$2:$DM$195,$A45))</f>
        <v>0</v>
      </c>
    </row>
    <row r="46" spans="1:12">
      <c r="A46">
        <v>14</v>
      </c>
      <c r="B46" cm="1">
        <f t="array" ref="B46">_xlfn.XLOOKUP(A46,'_Confronto_Data'!$FO$2:$FO$19,'_Confronto_Data'!$FP$2:$FP$19,"")</f>
        <v>0</v>
      </c>
      <c r="C46" cm="1">
        <f t="array" ref="C46">_xlfn.XLOOKUP(A46,'_Confronto_Data'!$FO$2:$FO$19,'_Confronto_Data'!$FQ$2:$FQ$19,"")</f>
        <v>0</v>
      </c>
      <c r="D46" cm="1">
        <f t="array" ref="D46">_xlfn.XLOOKUP(A46,'_Confronto_Data'!$FO$2:$FO$19,'_Confronto_Data'!$FR$2:$FR$19,"")</f>
        <v>0</v>
      </c>
      <c r="E46">
        <f>IF($B$5="","",SUMIFS('_Confronto_Data'!$DQ$2:$DQ$195,'_Confronto_Data'!$DL$2:$DL$195,$B$5,'_Confronto_Data'!$DM$2:$DM$195,$A46))</f>
        <v>0</v>
      </c>
      <c r="F46">
        <f>IF($B$5="","",SUMIFS('_Confronto_Data'!$DR$2:$DR$195,'_Confronto_Data'!$DL$2:$DL$195,$B$5,'_Confronto_Data'!$DM$2:$DM$195,$A46))</f>
        <v>0</v>
      </c>
      <c r="G46">
        <f>IF($B$5="","",SUMIFS('_Confronto_Data'!$DS$2:$DS$195,'_Confronto_Data'!$DL$2:$DL$195,$B$5,'_Confronto_Data'!$DM$2:$DM$195,$A46))</f>
        <v>0</v>
      </c>
      <c r="H46">
        <f>IF($B$5="","",SUMIFS('_Confronto_Data'!$EC$2:$EC$195,'_Confronto_Data'!$DL$2:$DL$195,$B$5,'_Confronto_Data'!$DM$2:$DM$195,$A46))</f>
        <v>0</v>
      </c>
      <c r="I46">
        <f>IF($D$5="","",SUMIFS('_Confronto_Data'!$DQ$2:$DQ$195,'_Confronto_Data'!$DL$2:$DL$195,$D$5,'_Confronto_Data'!$DM$2:$DM$195,$A46))</f>
        <v>0</v>
      </c>
      <c r="J46">
        <f>IF($D$5="","",SUMIFS('_Confronto_Data'!$DR$2:$DR$195,'_Confronto_Data'!$DL$2:$DL$195,$D$5,'_Confronto_Data'!$DM$2:$DM$195,$A46))</f>
        <v>0</v>
      </c>
      <c r="K46">
        <f>IF($D$5="","",SUMIFS('_Confronto_Data'!$DS$2:$DS$195,'_Confronto_Data'!$DL$2:$DL$195,$D$5,'_Confronto_Data'!$DM$2:$DM$195,$A46))</f>
        <v>0</v>
      </c>
      <c r="L46">
        <f>IF($D$5="","",SUMIFS('_Confronto_Data'!$EC$2:$EC$195,'_Confronto_Data'!$DL$2:$DL$195,$D$5,'_Confronto_Data'!$DM$2:$DM$195,$A46))</f>
        <v>0</v>
      </c>
    </row>
    <row r="47" spans="1:12">
      <c r="A47">
        <v>15</v>
      </c>
      <c r="B47" cm="1">
        <f t="array" ref="B47">_xlfn.XLOOKUP(A47,'_Confronto_Data'!$FO$2:$FO$19,'_Confronto_Data'!$FP$2:$FP$19,"")</f>
        <v>0</v>
      </c>
      <c r="C47" cm="1">
        <f t="array" ref="C47">_xlfn.XLOOKUP(A47,'_Confronto_Data'!$FO$2:$FO$19,'_Confronto_Data'!$FQ$2:$FQ$19,"")</f>
        <v>0</v>
      </c>
      <c r="D47" cm="1">
        <f t="array" ref="D47">_xlfn.XLOOKUP(A47,'_Confronto_Data'!$FO$2:$FO$19,'_Confronto_Data'!$FR$2:$FR$19,"")</f>
        <v>0</v>
      </c>
      <c r="E47">
        <f>IF($B$5="","",SUMIFS('_Confronto_Data'!$DQ$2:$DQ$195,'_Confronto_Data'!$DL$2:$DL$195,$B$5,'_Confronto_Data'!$DM$2:$DM$195,$A47))</f>
        <v>0</v>
      </c>
      <c r="F47">
        <f>IF($B$5="","",SUMIFS('_Confronto_Data'!$DR$2:$DR$195,'_Confronto_Data'!$DL$2:$DL$195,$B$5,'_Confronto_Data'!$DM$2:$DM$195,$A47))</f>
        <v>0</v>
      </c>
      <c r="G47">
        <f>IF($B$5="","",SUMIFS('_Confronto_Data'!$DS$2:$DS$195,'_Confronto_Data'!$DL$2:$DL$195,$B$5,'_Confronto_Data'!$DM$2:$DM$195,$A47))</f>
        <v>0</v>
      </c>
      <c r="H47">
        <f>IF($B$5="","",SUMIFS('_Confronto_Data'!$EC$2:$EC$195,'_Confronto_Data'!$DL$2:$DL$195,$B$5,'_Confronto_Data'!$DM$2:$DM$195,$A47))</f>
        <v>0</v>
      </c>
      <c r="I47">
        <f>IF($D$5="","",SUMIFS('_Confronto_Data'!$DQ$2:$DQ$195,'_Confronto_Data'!$DL$2:$DL$195,$D$5,'_Confronto_Data'!$DM$2:$DM$195,$A47))</f>
        <v>0</v>
      </c>
      <c r="J47">
        <f>IF($D$5="","",SUMIFS('_Confronto_Data'!$DR$2:$DR$195,'_Confronto_Data'!$DL$2:$DL$195,$D$5,'_Confronto_Data'!$DM$2:$DM$195,$A47))</f>
        <v>0</v>
      </c>
      <c r="K47">
        <f>IF($D$5="","",SUMIFS('_Confronto_Data'!$DS$2:$DS$195,'_Confronto_Data'!$DL$2:$DL$195,$D$5,'_Confronto_Data'!$DM$2:$DM$195,$A47))</f>
        <v>0</v>
      </c>
      <c r="L47">
        <f>IF($D$5="","",SUMIFS('_Confronto_Data'!$EC$2:$EC$195,'_Confronto_Data'!$DL$2:$DL$195,$D$5,'_Confronto_Data'!$DM$2:$DM$195,$A47))</f>
        <v>0</v>
      </c>
    </row>
    <row r="48" spans="1:12">
      <c r="A48">
        <v>16</v>
      </c>
      <c r="B48" cm="1">
        <f t="array" ref="B48">_xlfn.XLOOKUP(A48,'_Confronto_Data'!$FO$2:$FO$19,'_Confronto_Data'!$FP$2:$FP$19,"")</f>
        <v>0</v>
      </c>
      <c r="C48" cm="1">
        <f t="array" ref="C48">_xlfn.XLOOKUP(A48,'_Confronto_Data'!$FO$2:$FO$19,'_Confronto_Data'!$FQ$2:$FQ$19,"")</f>
        <v>0</v>
      </c>
      <c r="D48" cm="1">
        <f t="array" ref="D48">_xlfn.XLOOKUP(A48,'_Confronto_Data'!$FO$2:$FO$19,'_Confronto_Data'!$FR$2:$FR$19,"")</f>
        <v>0</v>
      </c>
      <c r="E48">
        <f>IF($B$5="","",SUMIFS('_Confronto_Data'!$DQ$2:$DQ$195,'_Confronto_Data'!$DL$2:$DL$195,$B$5,'_Confronto_Data'!$DM$2:$DM$195,$A48))</f>
        <v>0</v>
      </c>
      <c r="F48">
        <f>IF($B$5="","",SUMIFS('_Confronto_Data'!$DR$2:$DR$195,'_Confronto_Data'!$DL$2:$DL$195,$B$5,'_Confronto_Data'!$DM$2:$DM$195,$A48))</f>
        <v>0</v>
      </c>
      <c r="G48">
        <f>IF($B$5="","",SUMIFS('_Confronto_Data'!$DS$2:$DS$195,'_Confronto_Data'!$DL$2:$DL$195,$B$5,'_Confronto_Data'!$DM$2:$DM$195,$A48))</f>
        <v>0</v>
      </c>
      <c r="H48">
        <f>IF($B$5="","",SUMIFS('_Confronto_Data'!$EC$2:$EC$195,'_Confronto_Data'!$DL$2:$DL$195,$B$5,'_Confronto_Data'!$DM$2:$DM$195,$A48))</f>
        <v>0</v>
      </c>
      <c r="I48">
        <f>IF($D$5="","",SUMIFS('_Confronto_Data'!$DQ$2:$DQ$195,'_Confronto_Data'!$DL$2:$DL$195,$D$5,'_Confronto_Data'!$DM$2:$DM$195,$A48))</f>
        <v>0</v>
      </c>
      <c r="J48">
        <f>IF($D$5="","",SUMIFS('_Confronto_Data'!$DR$2:$DR$195,'_Confronto_Data'!$DL$2:$DL$195,$D$5,'_Confronto_Data'!$DM$2:$DM$195,$A48))</f>
        <v>0</v>
      </c>
      <c r="K48">
        <f>IF($D$5="","",SUMIFS('_Confronto_Data'!$DS$2:$DS$195,'_Confronto_Data'!$DL$2:$DL$195,$D$5,'_Confronto_Data'!$DM$2:$DM$195,$A48))</f>
        <v>0</v>
      </c>
      <c r="L48">
        <f>IF($D$5="","",SUMIFS('_Confronto_Data'!$EC$2:$EC$195,'_Confronto_Data'!$DL$2:$DL$195,$D$5,'_Confronto_Data'!$DM$2:$DM$195,$A48))</f>
        <v>0</v>
      </c>
    </row>
    <row r="49" spans="1:12">
      <c r="A49">
        <v>17</v>
      </c>
      <c r="B49" cm="1">
        <f t="array" ref="B49">_xlfn.XLOOKUP(A49,'_Confronto_Data'!$FO$2:$FO$19,'_Confronto_Data'!$FP$2:$FP$19,"")</f>
        <v>0</v>
      </c>
      <c r="C49" cm="1">
        <f t="array" ref="C49">_xlfn.XLOOKUP(A49,'_Confronto_Data'!$FO$2:$FO$19,'_Confronto_Data'!$FQ$2:$FQ$19,"")</f>
        <v>0</v>
      </c>
      <c r="D49" cm="1">
        <f t="array" ref="D49">_xlfn.XLOOKUP(A49,'_Confronto_Data'!$FO$2:$FO$19,'_Confronto_Data'!$FR$2:$FR$19,"")</f>
        <v>0</v>
      </c>
      <c r="E49">
        <f>IF($B$5="","",SUMIFS('_Confronto_Data'!$DQ$2:$DQ$195,'_Confronto_Data'!$DL$2:$DL$195,$B$5,'_Confronto_Data'!$DM$2:$DM$195,$A49))</f>
        <v>0</v>
      </c>
      <c r="F49">
        <f>IF($B$5="","",SUMIFS('_Confronto_Data'!$DR$2:$DR$195,'_Confronto_Data'!$DL$2:$DL$195,$B$5,'_Confronto_Data'!$DM$2:$DM$195,$A49))</f>
        <v>0</v>
      </c>
      <c r="G49">
        <f>IF($B$5="","",SUMIFS('_Confronto_Data'!$DS$2:$DS$195,'_Confronto_Data'!$DL$2:$DL$195,$B$5,'_Confronto_Data'!$DM$2:$DM$195,$A49))</f>
        <v>0</v>
      </c>
      <c r="H49">
        <f>IF($B$5="","",SUMIFS('_Confronto_Data'!$EC$2:$EC$195,'_Confronto_Data'!$DL$2:$DL$195,$B$5,'_Confronto_Data'!$DM$2:$DM$195,$A49))</f>
        <v>0</v>
      </c>
      <c r="I49">
        <f>IF($D$5="","",SUMIFS('_Confronto_Data'!$DQ$2:$DQ$195,'_Confronto_Data'!$DL$2:$DL$195,$D$5,'_Confronto_Data'!$DM$2:$DM$195,$A49))</f>
        <v>0</v>
      </c>
      <c r="J49">
        <f>IF($D$5="","",SUMIFS('_Confronto_Data'!$DR$2:$DR$195,'_Confronto_Data'!$DL$2:$DL$195,$D$5,'_Confronto_Data'!$DM$2:$DM$195,$A49))</f>
        <v>0</v>
      </c>
      <c r="K49">
        <f>IF($D$5="","",SUMIFS('_Confronto_Data'!$DS$2:$DS$195,'_Confronto_Data'!$DL$2:$DL$195,$D$5,'_Confronto_Data'!$DM$2:$DM$195,$A49))</f>
        <v>0</v>
      </c>
      <c r="L49">
        <f>IF($D$5="","",SUMIFS('_Confronto_Data'!$EC$2:$EC$195,'_Confronto_Data'!$DL$2:$DL$195,$D$5,'_Confronto_Data'!$DM$2:$DM$195,$A49))</f>
        <v>0</v>
      </c>
    </row>
    <row r="50" spans="1:12">
      <c r="A50">
        <v>18</v>
      </c>
      <c r="B50" cm="1">
        <f t="array" ref="B50">_xlfn.XLOOKUP(A50,'_Confronto_Data'!$FO$2:$FO$19,'_Confronto_Data'!$FP$2:$FP$19,"")</f>
        <v>0</v>
      </c>
      <c r="C50" cm="1">
        <f t="array" ref="C50">_xlfn.XLOOKUP(A50,'_Confronto_Data'!$FO$2:$FO$19,'_Confronto_Data'!$FQ$2:$FQ$19,"")</f>
        <v>0</v>
      </c>
      <c r="D50" cm="1">
        <f t="array" ref="D50">_xlfn.XLOOKUP(A50,'_Confronto_Data'!$FO$2:$FO$19,'_Confronto_Data'!$FR$2:$FR$19,"")</f>
        <v>0</v>
      </c>
      <c r="E50">
        <f>IF($B$5="","",SUMIFS('_Confronto_Data'!$DQ$2:$DQ$195,'_Confronto_Data'!$DL$2:$DL$195,$B$5,'_Confronto_Data'!$DM$2:$DM$195,$A50))</f>
        <v>0</v>
      </c>
      <c r="F50">
        <f>IF($B$5="","",SUMIFS('_Confronto_Data'!$DR$2:$DR$195,'_Confronto_Data'!$DL$2:$DL$195,$B$5,'_Confronto_Data'!$DM$2:$DM$195,$A50))</f>
        <v>0</v>
      </c>
      <c r="G50">
        <f>IF($B$5="","",SUMIFS('_Confronto_Data'!$DS$2:$DS$195,'_Confronto_Data'!$DL$2:$DL$195,$B$5,'_Confronto_Data'!$DM$2:$DM$195,$A50))</f>
        <v>0</v>
      </c>
      <c r="H50">
        <f>IF($B$5="","",SUMIFS('_Confronto_Data'!$EC$2:$EC$195,'_Confronto_Data'!$DL$2:$DL$195,$B$5,'_Confronto_Data'!$DM$2:$DM$195,$A50))</f>
        <v>0</v>
      </c>
      <c r="I50">
        <f>IF($D$5="","",SUMIFS('_Confronto_Data'!$DQ$2:$DQ$195,'_Confronto_Data'!$DL$2:$DL$195,$D$5,'_Confronto_Data'!$DM$2:$DM$195,$A50))</f>
        <v>0</v>
      </c>
      <c r="J50">
        <f>IF($D$5="","",SUMIFS('_Confronto_Data'!$DR$2:$DR$195,'_Confronto_Data'!$DL$2:$DL$195,$D$5,'_Confronto_Data'!$DM$2:$DM$195,$A50))</f>
        <v>0</v>
      </c>
      <c r="K50">
        <f>IF($D$5="","",SUMIFS('_Confronto_Data'!$DS$2:$DS$195,'_Confronto_Data'!$DL$2:$DL$195,$D$5,'_Confronto_Data'!$DM$2:$DM$195,$A50))</f>
        <v>0</v>
      </c>
      <c r="L50">
        <f>IF($D$5="","",SUMIFS('_Confronto_Data'!$EC$2:$EC$195,'_Confronto_Data'!$DL$2:$DL$195,$D$5,'_Confronto_Data'!$DM$2:$DM$195,$A50))</f>
        <v>0</v>
      </c>
    </row>
    <row r="55" spans="1:12">
      <c r="A55" s="6" t="s">
        <v>251</v>
      </c>
    </row>
    <row r="56" spans="1:12">
      <c r="A56" s="3" t="s">
        <v>252</v>
      </c>
      <c r="B56" s="10" t="s">
        <v>109</v>
      </c>
      <c r="C56" s="3" t="s">
        <v>253</v>
      </c>
      <c r="D56" s="10" t="s">
        <v>110</v>
      </c>
    </row>
    <row r="58" spans="1:12">
      <c r="A58" s="3" t="s">
        <v>218</v>
      </c>
      <c r="B58" s="3" t="s">
        <v>252</v>
      </c>
      <c r="C58" s="3" t="s">
        <v>253</v>
      </c>
      <c r="D58" s="3" t="s">
        <v>219</v>
      </c>
      <c r="F58" s="6" t="s">
        <v>258</v>
      </c>
    </row>
    <row r="59" spans="1:12">
      <c r="A59" s="11" t="s">
        <v>84</v>
      </c>
      <c r="B59" s="12" cm="1">
        <f t="array" ref="B59">IF($B$56="","",_xlfn.XLOOKUP($B$56,'_Confronto_Data'!$BI$2:$BI$4,'_Confronto_Data'!$BM$2:$BM$4,""))</f>
        <v>0</v>
      </c>
      <c r="C59" s="12" cm="1">
        <f t="array" ref="C59">IF($D$56="","",_xlfn.XLOOKUP($D$56,'_Confronto_Data'!$BI$2:$BI$4,'_Confronto_Data'!$BM$2:$BM$4,""))</f>
        <v>0</v>
      </c>
      <c r="D59" s="12"/>
      <c r="F59" s="3" t="s">
        <v>218</v>
      </c>
      <c r="G59" s="3" t="s">
        <v>236</v>
      </c>
      <c r="H59" s="3" t="s">
        <v>237</v>
      </c>
    </row>
    <row r="60" spans="1:12">
      <c r="A60" s="11" t="s">
        <v>254</v>
      </c>
      <c r="B60" s="12" cm="1">
        <f t="array" ref="B60">IF($B$56="","",_xlfn.XLOOKUP($B$56,'_Confronto_Data'!$BI$2:$BI$4,'_Confronto_Data'!$BS$2:$BS$4,""))</f>
        <v>0</v>
      </c>
      <c r="C60" s="12" cm="1">
        <f t="array" ref="C60">IF($D$56="","",_xlfn.XLOOKUP($D$56,'_Confronto_Data'!$BI$2:$BI$4,'_Confronto_Data'!$BS$2:$BS$4,""))</f>
        <v>0</v>
      </c>
      <c r="D60" s="12">
        <f>IF(OR(B60="",C60=""),"",B60-C60)</f>
        <v>0</v>
      </c>
      <c r="F60" t="s">
        <v>104</v>
      </c>
      <c r="G60">
        <f>B62</f>
        <v>0</v>
      </c>
      <c r="H60">
        <f>C62</f>
        <v>0</v>
      </c>
    </row>
    <row r="61" spans="1:12">
      <c r="A61" s="11" t="s">
        <v>103</v>
      </c>
      <c r="B61" s="12" cm="1">
        <f t="array" ref="B61">IF($B$56="","",_xlfn.XLOOKUP($B$56,'_Confronto_Data'!$BI$2:$BI$4,'_Confronto_Data'!$BT$2:$BT$4,""))</f>
        <v>0</v>
      </c>
      <c r="C61" s="12" cm="1">
        <f t="array" ref="C61">IF($D$56="","",_xlfn.XLOOKUP($D$56,'_Confronto_Data'!$BI$2:$BI$4,'_Confronto_Data'!$BT$2:$BT$4,""))</f>
        <v>0</v>
      </c>
      <c r="D61" s="12">
        <f>IF(OR(B61="",C61=""),"",B61-C61)</f>
        <v>0</v>
      </c>
      <c r="F61" t="s">
        <v>7</v>
      </c>
      <c r="G61">
        <f>B64</f>
        <v>0</v>
      </c>
      <c r="H61">
        <f>C64</f>
        <v>0</v>
      </c>
    </row>
    <row r="62" spans="1:12">
      <c r="A62" s="11" t="s">
        <v>104</v>
      </c>
      <c r="B62" s="12" cm="1">
        <f t="array" ref="B62">IF($B$56="","",_xlfn.XLOOKUP($B$56,'_Confronto_Data'!$BI$2:$BI$4,'_Confronto_Data'!$CG$2:$CG$4,""))</f>
        <v>0</v>
      </c>
      <c r="C62" s="12" cm="1">
        <f t="array" ref="C62">IF($D$56="","",_xlfn.XLOOKUP($D$56,'_Confronto_Data'!$BI$2:$BI$4,'_Confronto_Data'!$CG$2:$CG$4,""))</f>
        <v>0</v>
      </c>
      <c r="D62" s="12">
        <f>IF(OR(B62="",C62=""),"",B62-C62)</f>
        <v>0</v>
      </c>
      <c r="F62" t="s">
        <v>108</v>
      </c>
      <c r="G62">
        <f>B71</f>
        <v>0</v>
      </c>
      <c r="H62">
        <f>C71</f>
        <v>0</v>
      </c>
    </row>
    <row r="63" spans="1:12">
      <c r="A63" s="11" t="s">
        <v>255</v>
      </c>
      <c r="B63" s="12" cm="1">
        <f t="array" ref="B63">IF($B$56="","",_xlfn.XLOOKUP($B$56,'_Confronto_Data'!$BI$2:$BI$4,'_Confronto_Data'!$CH$2:$CH$4,""))</f>
        <v>0</v>
      </c>
      <c r="C63" s="12" cm="1">
        <f t="array" ref="C63">IF($D$56="","",_xlfn.XLOOKUP($D$56,'_Confronto_Data'!$BI$2:$BI$4,'_Confronto_Data'!$CH$2:$CH$4,""))</f>
        <v>0</v>
      </c>
      <c r="D63" s="12">
        <f>IF(OR(B63="",C63=""),"",B63-C63)</f>
        <v>0</v>
      </c>
    </row>
    <row r="64" spans="1:12">
      <c r="A64" s="11" t="s">
        <v>7</v>
      </c>
      <c r="B64" s="12" cm="1">
        <f t="array" ref="B64">IF($B$56="","",_xlfn.XLOOKUP($B$56,'_Confronto_Data'!$BI$2:$BI$4,'_Confronto_Data'!$CO$2:$CO$4,""))</f>
        <v>0</v>
      </c>
      <c r="C64" s="12" cm="1">
        <f t="array" ref="C64">IF($D$56="","",_xlfn.XLOOKUP($D$56,'_Confronto_Data'!$BI$2:$BI$4,'_Confronto_Data'!$CO$2:$CO$4,""))</f>
        <v>0</v>
      </c>
      <c r="D64" s="12">
        <f>IF(OR(B64="",C64=""),"",B64-C64)</f>
        <v>0</v>
      </c>
    </row>
    <row r="65" spans="1:4">
      <c r="A65" s="11" t="s">
        <v>256</v>
      </c>
      <c r="B65" s="12" cm="1">
        <f t="array" ref="B65">IF($B$56="","",_xlfn.XLOOKUP($B$56,'_Confronto_Data'!$BI$2:$BI$4,'_Confronto_Data'!$CP$2:$CP$4,""))</f>
        <v>0</v>
      </c>
      <c r="C65" s="12" cm="1">
        <f t="array" ref="C65">IF($D$56="","",_xlfn.XLOOKUP($D$56,'_Confronto_Data'!$BI$2:$BI$4,'_Confronto_Data'!$CP$2:$CP$4,""))</f>
        <v>0</v>
      </c>
      <c r="D65" s="12">
        <f>IF(OR(B65="",C65=""),"",B65-C65)</f>
        <v>0</v>
      </c>
    </row>
    <row r="66" spans="1:4">
      <c r="A66" s="11" t="s">
        <v>257</v>
      </c>
      <c r="B66" s="13" cm="1">
        <f t="array" ref="B66">IF($B$56="","",_xlfn.XLOOKUP($B$56,'_Confronto_Data'!$BI$2:$BI$4,'_Confronto_Data'!$CU$2:$CU$4,""))</f>
        <v>0</v>
      </c>
      <c r="C66" s="13" cm="1">
        <f t="array" ref="C66">IF($D$56="","",_xlfn.XLOOKUP($D$56,'_Confronto_Data'!$BI$2:$BI$4,'_Confronto_Data'!$CU$2:$CU$4,""))</f>
        <v>0</v>
      </c>
      <c r="D66" s="13">
        <f>IF(OR(B66="",C66=""),"",B66-C66)</f>
        <v>0</v>
      </c>
    </row>
    <row r="67" spans="1:4">
      <c r="A67" s="11" t="s">
        <v>77</v>
      </c>
      <c r="B67" s="12" cm="1">
        <f t="array" ref="B67">IF($B$56="","",_xlfn.XLOOKUP($B$56,'_Confronto_Data'!$BI$2:$BI$4,'_Confronto_Data'!$BW$2:$BW$4,""))</f>
        <v>0</v>
      </c>
      <c r="C67" s="12" cm="1">
        <f t="array" ref="C67">IF($D$56="","",_xlfn.XLOOKUP($D$56,'_Confronto_Data'!$BI$2:$BI$4,'_Confronto_Data'!$BW$2:$BW$4,""))</f>
        <v>0</v>
      </c>
      <c r="D67" s="12">
        <f>IF(OR(B67="",C67=""),"",B67-C67)</f>
        <v>0</v>
      </c>
    </row>
    <row r="68" spans="1:4">
      <c r="A68" s="11" t="s">
        <v>232</v>
      </c>
      <c r="B68" s="12" cm="1">
        <f t="array" ref="B68">IF($B$56="","",_xlfn.XLOOKUP($B$56,'_Confronto_Data'!$BI$2:$BI$4,'_Confronto_Data'!$CS$2:$CS$4,""))</f>
        <v>0</v>
      </c>
      <c r="C68" s="12" cm="1">
        <f t="array" ref="C68">IF($D$56="","",_xlfn.XLOOKUP($D$56,'_Confronto_Data'!$BI$2:$BI$4,'_Confronto_Data'!$CS$2:$CS$4,""))</f>
        <v>0</v>
      </c>
      <c r="D68" s="12">
        <f>IF(OR(B68="",C68=""),"",B68-C68)</f>
        <v>0</v>
      </c>
    </row>
    <row r="69" spans="1:4">
      <c r="A69" s="11" t="s">
        <v>233</v>
      </c>
      <c r="B69" s="12" cm="1">
        <f t="array" ref="B69">IF($B$56="","",_xlfn.XLOOKUP($B$56,'_Confronto_Data'!$BI$2:$BI$4,'_Confronto_Data'!$CZ$2:$CZ$4,""))</f>
        <v>0</v>
      </c>
      <c r="C69" s="12" cm="1">
        <f t="array" ref="C69">IF($D$56="","",_xlfn.XLOOKUP($D$56,'_Confronto_Data'!$BI$2:$BI$4,'_Confronto_Data'!$CZ$2:$CZ$4,""))</f>
        <v>0</v>
      </c>
      <c r="D69" s="12">
        <f>IF(OR(B69="",C69=""),"",B69-C69)</f>
        <v>0</v>
      </c>
    </row>
    <row r="70" spans="1:4">
      <c r="A70" s="11" t="s">
        <v>234</v>
      </c>
      <c r="B70" s="12" cm="1">
        <f t="array" ref="B70">IF($B$56="","",_xlfn.XLOOKUP($B$56,'_Confronto_Data'!$BI$2:$BI$4,'_Confronto_Data'!$DB$2:$DB$4,""))</f>
        <v>0</v>
      </c>
      <c r="C70" s="12" cm="1">
        <f t="array" ref="C70">IF($D$56="","",_xlfn.XLOOKUP($D$56,'_Confronto_Data'!$BI$2:$BI$4,'_Confronto_Data'!$DB$2:$DB$4,""))</f>
        <v>0</v>
      </c>
      <c r="D70" s="12">
        <f>IF(OR(B70="",C70=""),"",B70-C70)</f>
        <v>0</v>
      </c>
    </row>
    <row r="71" spans="1:4">
      <c r="A71" s="11" t="s">
        <v>108</v>
      </c>
      <c r="B71" s="12" cm="1">
        <f t="array" ref="B71">IF($B$56="","",_xlfn.XLOOKUP($B$56,'_Confronto_Data'!$BI$2:$BI$4,'_Confronto_Data'!$DC$2:$DC$4,""))</f>
        <v>0</v>
      </c>
      <c r="C71" s="12" cm="1">
        <f t="array" ref="C71">IF($D$56="","",_xlfn.XLOOKUP($D$56,'_Confronto_Data'!$BI$2:$BI$4,'_Confronto_Data'!$DC$2:$DC$4,""))</f>
        <v>0</v>
      </c>
      <c r="D71" s="12">
        <f>IF(OR(B71="",C71=""),"",B71-C71)</f>
        <v>0</v>
      </c>
    </row>
    <row r="87" spans="1:12">
      <c r="A87" s="6" t="s">
        <v>259</v>
      </c>
    </row>
    <row r="88" spans="1:12">
      <c r="A88" s="3" t="s">
        <v>239</v>
      </c>
      <c r="B88" s="3" t="s">
        <v>240</v>
      </c>
      <c r="C88" s="3" t="s">
        <v>241</v>
      </c>
      <c r="D88" s="3" t="s">
        <v>242</v>
      </c>
      <c r="E88" s="3" t="s">
        <v>260</v>
      </c>
      <c r="F88" s="3" t="s">
        <v>261</v>
      </c>
      <c r="G88" s="3" t="s">
        <v>262</v>
      </c>
      <c r="H88" s="3" t="s">
        <v>263</v>
      </c>
      <c r="I88" s="3" t="s">
        <v>264</v>
      </c>
      <c r="J88" s="3" t="s">
        <v>265</v>
      </c>
      <c r="K88" s="3" t="s">
        <v>266</v>
      </c>
      <c r="L88" s="3" t="s">
        <v>267</v>
      </c>
    </row>
    <row r="89" spans="1:12">
      <c r="A89">
        <v>1</v>
      </c>
      <c r="B89" cm="1">
        <f t="array" ref="B89">_xlfn.XLOOKUP(A89,'_Confronto_Data'!$FO$2:$FO$19,'_Confronto_Data'!$FP$2:$FP$19,"")</f>
        <v>0</v>
      </c>
      <c r="C89" cm="1">
        <f t="array" ref="C89">_xlfn.XLOOKUP(A89,'_Confronto_Data'!$FO$2:$FO$19,'_Confronto_Data'!$FQ$2:$FQ$19,"")</f>
        <v>0</v>
      </c>
      <c r="D89" cm="1">
        <f t="array" ref="D89">_xlfn.XLOOKUP(A89,'_Confronto_Data'!$FO$2:$FO$19,'_Confronto_Data'!$FR$2:$FR$19,"")</f>
        <v>0</v>
      </c>
      <c r="E89" s="12">
        <f>IF($B$56="","",SUMIFS('_Confronto_Data'!$EV$2:$EV$34,'_Confronto_Data'!$EP$2:$EP$34,$B$56,'_Confronto_Data'!$EQ$2:$EQ$34,$A89))</f>
        <v>0</v>
      </c>
      <c r="F89" s="12">
        <f>IF($B$56="","",SUMIFS('_Confronto_Data'!$EW$2:$EW$34,'_Confronto_Data'!$EP$2:$EP$34,$B$56,'_Confronto_Data'!$EQ$2:$EQ$34,$A89))</f>
        <v>0</v>
      </c>
      <c r="G89" s="13">
        <f>IF($B$56="","",SUMIFS('_Confronto_Data'!$EX$2:$EX$34,'_Confronto_Data'!$EP$2:$EP$34,$B$56,'_Confronto_Data'!$EQ$2:$EQ$34,$A89))</f>
        <v>0</v>
      </c>
      <c r="H89" cm="1">
        <f t="array" ref="H89">IF($B$56="","",_xlfn.XLOOKUP($B$56&amp;"|"&amp;$A89,'_Confronto_Data'!$FC$2:$FC$34,'_Confronto_Data'!$FD$2:$FD$34,""))</f>
        <v>0</v>
      </c>
      <c r="I89" s="12">
        <f>IF($D$56="","",SUMIFS('_Confronto_Data'!$EV$2:$EV$34,'_Confronto_Data'!$EP$2:$EP$34,$D$56,'_Confronto_Data'!$EQ$2:$EQ$34,$A89))</f>
        <v>0</v>
      </c>
      <c r="J89" s="12">
        <f>IF($D$56="","",SUMIFS('_Confronto_Data'!$EW$2:$EW$34,'_Confronto_Data'!$EP$2:$EP$34,$D$56,'_Confronto_Data'!$EQ$2:$EQ$34,$A89))</f>
        <v>0</v>
      </c>
      <c r="K89" s="13">
        <f>IF($D$56="","",SUMIFS('_Confronto_Data'!$EX$2:$EX$34,'_Confronto_Data'!$EP$2:$EP$34,$D$56,'_Confronto_Data'!$EQ$2:$EQ$34,$A89))</f>
        <v>0</v>
      </c>
      <c r="L89" cm="1">
        <f t="array" ref="L89">IF($D$56="","",_xlfn.XLOOKUP($D$56&amp;"|"&amp;$A89,'_Confronto_Data'!$FC$2:$FC$34,'_Confronto_Data'!$FD$2:$FD$34,""))</f>
        <v>0</v>
      </c>
    </row>
    <row r="90" spans="1:12">
      <c r="A90">
        <v>2</v>
      </c>
      <c r="B90" cm="1">
        <f t="array" ref="B90">_xlfn.XLOOKUP(A90,'_Confronto_Data'!$FO$2:$FO$19,'_Confronto_Data'!$FP$2:$FP$19,"")</f>
        <v>0</v>
      </c>
      <c r="C90" cm="1">
        <f t="array" ref="C90">_xlfn.XLOOKUP(A90,'_Confronto_Data'!$FO$2:$FO$19,'_Confronto_Data'!$FQ$2:$FQ$19,"")</f>
        <v>0</v>
      </c>
      <c r="D90" cm="1">
        <f t="array" ref="D90">_xlfn.XLOOKUP(A90,'_Confronto_Data'!$FO$2:$FO$19,'_Confronto_Data'!$FR$2:$FR$19,"")</f>
        <v>0</v>
      </c>
      <c r="E90" s="12">
        <f>IF($B$56="","",SUMIFS('_Confronto_Data'!$EV$2:$EV$34,'_Confronto_Data'!$EP$2:$EP$34,$B$56,'_Confronto_Data'!$EQ$2:$EQ$34,$A90))</f>
        <v>0</v>
      </c>
      <c r="F90" s="12">
        <f>IF($B$56="","",SUMIFS('_Confronto_Data'!$EW$2:$EW$34,'_Confronto_Data'!$EP$2:$EP$34,$B$56,'_Confronto_Data'!$EQ$2:$EQ$34,$A90))</f>
        <v>0</v>
      </c>
      <c r="G90" s="13">
        <f>IF($B$56="","",SUMIFS('_Confronto_Data'!$EX$2:$EX$34,'_Confronto_Data'!$EP$2:$EP$34,$B$56,'_Confronto_Data'!$EQ$2:$EQ$34,$A90))</f>
        <v>0</v>
      </c>
      <c r="H90" cm="1">
        <f t="array" ref="H90">IF($B$56="","",_xlfn.XLOOKUP($B$56&amp;"|"&amp;$A90,'_Confronto_Data'!$FC$2:$FC$34,'_Confronto_Data'!$FD$2:$FD$34,""))</f>
        <v>0</v>
      </c>
      <c r="I90" s="12">
        <f>IF($D$56="","",SUMIFS('_Confronto_Data'!$EV$2:$EV$34,'_Confronto_Data'!$EP$2:$EP$34,$D$56,'_Confronto_Data'!$EQ$2:$EQ$34,$A90))</f>
        <v>0</v>
      </c>
      <c r="J90" s="12">
        <f>IF($D$56="","",SUMIFS('_Confronto_Data'!$EW$2:$EW$34,'_Confronto_Data'!$EP$2:$EP$34,$D$56,'_Confronto_Data'!$EQ$2:$EQ$34,$A90))</f>
        <v>0</v>
      </c>
      <c r="K90" s="13">
        <f>IF($D$56="","",SUMIFS('_Confronto_Data'!$EX$2:$EX$34,'_Confronto_Data'!$EP$2:$EP$34,$D$56,'_Confronto_Data'!$EQ$2:$EQ$34,$A90))</f>
        <v>0</v>
      </c>
      <c r="L90" cm="1">
        <f t="array" ref="L90">IF($D$56="","",_xlfn.XLOOKUP($D$56&amp;"|"&amp;$A90,'_Confronto_Data'!$FC$2:$FC$34,'_Confronto_Data'!$FD$2:$FD$34,""))</f>
        <v>0</v>
      </c>
    </row>
    <row r="91" spans="1:12">
      <c r="A91">
        <v>3</v>
      </c>
      <c r="B91" cm="1">
        <f t="array" ref="B91">_xlfn.XLOOKUP(A91,'_Confronto_Data'!$FO$2:$FO$19,'_Confronto_Data'!$FP$2:$FP$19,"")</f>
        <v>0</v>
      </c>
      <c r="C91" cm="1">
        <f t="array" ref="C91">_xlfn.XLOOKUP(A91,'_Confronto_Data'!$FO$2:$FO$19,'_Confronto_Data'!$FQ$2:$FQ$19,"")</f>
        <v>0</v>
      </c>
      <c r="D91" cm="1">
        <f t="array" ref="D91">_xlfn.XLOOKUP(A91,'_Confronto_Data'!$FO$2:$FO$19,'_Confronto_Data'!$FR$2:$FR$19,"")</f>
        <v>0</v>
      </c>
      <c r="E91" s="12">
        <f>IF($B$56="","",SUMIFS('_Confronto_Data'!$EV$2:$EV$34,'_Confronto_Data'!$EP$2:$EP$34,$B$56,'_Confronto_Data'!$EQ$2:$EQ$34,$A91))</f>
        <v>0</v>
      </c>
      <c r="F91" s="12">
        <f>IF($B$56="","",SUMIFS('_Confronto_Data'!$EW$2:$EW$34,'_Confronto_Data'!$EP$2:$EP$34,$B$56,'_Confronto_Data'!$EQ$2:$EQ$34,$A91))</f>
        <v>0</v>
      </c>
      <c r="G91" s="13">
        <f>IF($B$56="","",SUMIFS('_Confronto_Data'!$EX$2:$EX$34,'_Confronto_Data'!$EP$2:$EP$34,$B$56,'_Confronto_Data'!$EQ$2:$EQ$34,$A91))</f>
        <v>0</v>
      </c>
      <c r="H91" cm="1">
        <f t="array" ref="H91">IF($B$56="","",_xlfn.XLOOKUP($B$56&amp;"|"&amp;$A91,'_Confronto_Data'!$FC$2:$FC$34,'_Confronto_Data'!$FD$2:$FD$34,""))</f>
        <v>0</v>
      </c>
      <c r="I91" s="12">
        <f>IF($D$56="","",SUMIFS('_Confronto_Data'!$EV$2:$EV$34,'_Confronto_Data'!$EP$2:$EP$34,$D$56,'_Confronto_Data'!$EQ$2:$EQ$34,$A91))</f>
        <v>0</v>
      </c>
      <c r="J91" s="12">
        <f>IF($D$56="","",SUMIFS('_Confronto_Data'!$EW$2:$EW$34,'_Confronto_Data'!$EP$2:$EP$34,$D$56,'_Confronto_Data'!$EQ$2:$EQ$34,$A91))</f>
        <v>0</v>
      </c>
      <c r="K91" s="13">
        <f>IF($D$56="","",SUMIFS('_Confronto_Data'!$EX$2:$EX$34,'_Confronto_Data'!$EP$2:$EP$34,$D$56,'_Confronto_Data'!$EQ$2:$EQ$34,$A91))</f>
        <v>0</v>
      </c>
      <c r="L91" cm="1">
        <f t="array" ref="L91">IF($D$56="","",_xlfn.XLOOKUP($D$56&amp;"|"&amp;$A91,'_Confronto_Data'!$FC$2:$FC$34,'_Confronto_Data'!$FD$2:$FD$34,""))</f>
        <v>0</v>
      </c>
    </row>
    <row r="92" spans="1:12">
      <c r="A92">
        <v>4</v>
      </c>
      <c r="B92" cm="1">
        <f t="array" ref="B92">_xlfn.XLOOKUP(A92,'_Confronto_Data'!$FO$2:$FO$19,'_Confronto_Data'!$FP$2:$FP$19,"")</f>
        <v>0</v>
      </c>
      <c r="C92" cm="1">
        <f t="array" ref="C92">_xlfn.XLOOKUP(A92,'_Confronto_Data'!$FO$2:$FO$19,'_Confronto_Data'!$FQ$2:$FQ$19,"")</f>
        <v>0</v>
      </c>
      <c r="D92" cm="1">
        <f t="array" ref="D92">_xlfn.XLOOKUP(A92,'_Confronto_Data'!$FO$2:$FO$19,'_Confronto_Data'!$FR$2:$FR$19,"")</f>
        <v>0</v>
      </c>
      <c r="E92" s="12">
        <f>IF($B$56="","",SUMIFS('_Confronto_Data'!$EV$2:$EV$34,'_Confronto_Data'!$EP$2:$EP$34,$B$56,'_Confronto_Data'!$EQ$2:$EQ$34,$A92))</f>
        <v>0</v>
      </c>
      <c r="F92" s="12">
        <f>IF($B$56="","",SUMIFS('_Confronto_Data'!$EW$2:$EW$34,'_Confronto_Data'!$EP$2:$EP$34,$B$56,'_Confronto_Data'!$EQ$2:$EQ$34,$A92))</f>
        <v>0</v>
      </c>
      <c r="G92" s="13">
        <f>IF($B$56="","",SUMIFS('_Confronto_Data'!$EX$2:$EX$34,'_Confronto_Data'!$EP$2:$EP$34,$B$56,'_Confronto_Data'!$EQ$2:$EQ$34,$A92))</f>
        <v>0</v>
      </c>
      <c r="H92" cm="1">
        <f t="array" ref="H92">IF($B$56="","",_xlfn.XLOOKUP($B$56&amp;"|"&amp;$A92,'_Confronto_Data'!$FC$2:$FC$34,'_Confronto_Data'!$FD$2:$FD$34,""))</f>
        <v>0</v>
      </c>
      <c r="I92" s="12">
        <f>IF($D$56="","",SUMIFS('_Confronto_Data'!$EV$2:$EV$34,'_Confronto_Data'!$EP$2:$EP$34,$D$56,'_Confronto_Data'!$EQ$2:$EQ$34,$A92))</f>
        <v>0</v>
      </c>
      <c r="J92" s="12">
        <f>IF($D$56="","",SUMIFS('_Confronto_Data'!$EW$2:$EW$34,'_Confronto_Data'!$EP$2:$EP$34,$D$56,'_Confronto_Data'!$EQ$2:$EQ$34,$A92))</f>
        <v>0</v>
      </c>
      <c r="K92" s="13">
        <f>IF($D$56="","",SUMIFS('_Confronto_Data'!$EX$2:$EX$34,'_Confronto_Data'!$EP$2:$EP$34,$D$56,'_Confronto_Data'!$EQ$2:$EQ$34,$A92))</f>
        <v>0</v>
      </c>
      <c r="L92" cm="1">
        <f t="array" ref="L92">IF($D$56="","",_xlfn.XLOOKUP($D$56&amp;"|"&amp;$A92,'_Confronto_Data'!$FC$2:$FC$34,'_Confronto_Data'!$FD$2:$FD$34,""))</f>
        <v>0</v>
      </c>
    </row>
    <row r="93" spans="1:12">
      <c r="A93">
        <v>5</v>
      </c>
      <c r="B93" cm="1">
        <f t="array" ref="B93">_xlfn.XLOOKUP(A93,'_Confronto_Data'!$FO$2:$FO$19,'_Confronto_Data'!$FP$2:$FP$19,"")</f>
        <v>0</v>
      </c>
      <c r="C93" cm="1">
        <f t="array" ref="C93">_xlfn.XLOOKUP(A93,'_Confronto_Data'!$FO$2:$FO$19,'_Confronto_Data'!$FQ$2:$FQ$19,"")</f>
        <v>0</v>
      </c>
      <c r="D93" cm="1">
        <f t="array" ref="D93">_xlfn.XLOOKUP(A93,'_Confronto_Data'!$FO$2:$FO$19,'_Confronto_Data'!$FR$2:$FR$19,"")</f>
        <v>0</v>
      </c>
      <c r="E93" s="12">
        <f>IF($B$56="","",SUMIFS('_Confronto_Data'!$EV$2:$EV$34,'_Confronto_Data'!$EP$2:$EP$34,$B$56,'_Confronto_Data'!$EQ$2:$EQ$34,$A93))</f>
        <v>0</v>
      </c>
      <c r="F93" s="12">
        <f>IF($B$56="","",SUMIFS('_Confronto_Data'!$EW$2:$EW$34,'_Confronto_Data'!$EP$2:$EP$34,$B$56,'_Confronto_Data'!$EQ$2:$EQ$34,$A93))</f>
        <v>0</v>
      </c>
      <c r="G93" s="13">
        <f>IF($B$56="","",SUMIFS('_Confronto_Data'!$EX$2:$EX$34,'_Confronto_Data'!$EP$2:$EP$34,$B$56,'_Confronto_Data'!$EQ$2:$EQ$34,$A93))</f>
        <v>0</v>
      </c>
      <c r="H93" cm="1">
        <f t="array" ref="H93">IF($B$56="","",_xlfn.XLOOKUP($B$56&amp;"|"&amp;$A93,'_Confronto_Data'!$FC$2:$FC$34,'_Confronto_Data'!$FD$2:$FD$34,""))</f>
        <v>0</v>
      </c>
      <c r="I93" s="12">
        <f>IF($D$56="","",SUMIFS('_Confronto_Data'!$EV$2:$EV$34,'_Confronto_Data'!$EP$2:$EP$34,$D$56,'_Confronto_Data'!$EQ$2:$EQ$34,$A93))</f>
        <v>0</v>
      </c>
      <c r="J93" s="12">
        <f>IF($D$56="","",SUMIFS('_Confronto_Data'!$EW$2:$EW$34,'_Confronto_Data'!$EP$2:$EP$34,$D$56,'_Confronto_Data'!$EQ$2:$EQ$34,$A93))</f>
        <v>0</v>
      </c>
      <c r="K93" s="13">
        <f>IF($D$56="","",SUMIFS('_Confronto_Data'!$EX$2:$EX$34,'_Confronto_Data'!$EP$2:$EP$34,$D$56,'_Confronto_Data'!$EQ$2:$EQ$34,$A93))</f>
        <v>0</v>
      </c>
      <c r="L93" cm="1">
        <f t="array" ref="L93">IF($D$56="","",_xlfn.XLOOKUP($D$56&amp;"|"&amp;$A93,'_Confronto_Data'!$FC$2:$FC$34,'_Confronto_Data'!$FD$2:$FD$34,""))</f>
        <v>0</v>
      </c>
    </row>
    <row r="94" spans="1:12">
      <c r="A94">
        <v>6</v>
      </c>
      <c r="B94" cm="1">
        <f t="array" ref="B94">_xlfn.XLOOKUP(A94,'_Confronto_Data'!$FO$2:$FO$19,'_Confronto_Data'!$FP$2:$FP$19,"")</f>
        <v>0</v>
      </c>
      <c r="C94" cm="1">
        <f t="array" ref="C94">_xlfn.XLOOKUP(A94,'_Confronto_Data'!$FO$2:$FO$19,'_Confronto_Data'!$FQ$2:$FQ$19,"")</f>
        <v>0</v>
      </c>
      <c r="D94" cm="1">
        <f t="array" ref="D94">_xlfn.XLOOKUP(A94,'_Confronto_Data'!$FO$2:$FO$19,'_Confronto_Data'!$FR$2:$FR$19,"")</f>
        <v>0</v>
      </c>
      <c r="E94" s="12">
        <f>IF($B$56="","",SUMIFS('_Confronto_Data'!$EV$2:$EV$34,'_Confronto_Data'!$EP$2:$EP$34,$B$56,'_Confronto_Data'!$EQ$2:$EQ$34,$A94))</f>
        <v>0</v>
      </c>
      <c r="F94" s="12">
        <f>IF($B$56="","",SUMIFS('_Confronto_Data'!$EW$2:$EW$34,'_Confronto_Data'!$EP$2:$EP$34,$B$56,'_Confronto_Data'!$EQ$2:$EQ$34,$A94))</f>
        <v>0</v>
      </c>
      <c r="G94" s="13">
        <f>IF($B$56="","",SUMIFS('_Confronto_Data'!$EX$2:$EX$34,'_Confronto_Data'!$EP$2:$EP$34,$B$56,'_Confronto_Data'!$EQ$2:$EQ$34,$A94))</f>
        <v>0</v>
      </c>
      <c r="H94" cm="1">
        <f t="array" ref="H94">IF($B$56="","",_xlfn.XLOOKUP($B$56&amp;"|"&amp;$A94,'_Confronto_Data'!$FC$2:$FC$34,'_Confronto_Data'!$FD$2:$FD$34,""))</f>
        <v>0</v>
      </c>
      <c r="I94" s="12">
        <f>IF($D$56="","",SUMIFS('_Confronto_Data'!$EV$2:$EV$34,'_Confronto_Data'!$EP$2:$EP$34,$D$56,'_Confronto_Data'!$EQ$2:$EQ$34,$A94))</f>
        <v>0</v>
      </c>
      <c r="J94" s="12">
        <f>IF($D$56="","",SUMIFS('_Confronto_Data'!$EW$2:$EW$34,'_Confronto_Data'!$EP$2:$EP$34,$D$56,'_Confronto_Data'!$EQ$2:$EQ$34,$A94))</f>
        <v>0</v>
      </c>
      <c r="K94" s="13">
        <f>IF($D$56="","",SUMIFS('_Confronto_Data'!$EX$2:$EX$34,'_Confronto_Data'!$EP$2:$EP$34,$D$56,'_Confronto_Data'!$EQ$2:$EQ$34,$A94))</f>
        <v>0</v>
      </c>
      <c r="L94" cm="1">
        <f t="array" ref="L94">IF($D$56="","",_xlfn.XLOOKUP($D$56&amp;"|"&amp;$A94,'_Confronto_Data'!$FC$2:$FC$34,'_Confronto_Data'!$FD$2:$FD$34,""))</f>
        <v>0</v>
      </c>
    </row>
    <row r="95" spans="1:12">
      <c r="A95">
        <v>7</v>
      </c>
      <c r="B95" cm="1">
        <f t="array" ref="B95">_xlfn.XLOOKUP(A95,'_Confronto_Data'!$FO$2:$FO$19,'_Confronto_Data'!$FP$2:$FP$19,"")</f>
        <v>0</v>
      </c>
      <c r="C95" cm="1">
        <f t="array" ref="C95">_xlfn.XLOOKUP(A95,'_Confronto_Data'!$FO$2:$FO$19,'_Confronto_Data'!$FQ$2:$FQ$19,"")</f>
        <v>0</v>
      </c>
      <c r="D95" cm="1">
        <f t="array" ref="D95">_xlfn.XLOOKUP(A95,'_Confronto_Data'!$FO$2:$FO$19,'_Confronto_Data'!$FR$2:$FR$19,"")</f>
        <v>0</v>
      </c>
      <c r="E95" s="12">
        <f>IF($B$56="","",SUMIFS('_Confronto_Data'!$EV$2:$EV$34,'_Confronto_Data'!$EP$2:$EP$34,$B$56,'_Confronto_Data'!$EQ$2:$EQ$34,$A95))</f>
        <v>0</v>
      </c>
      <c r="F95" s="12">
        <f>IF($B$56="","",SUMIFS('_Confronto_Data'!$EW$2:$EW$34,'_Confronto_Data'!$EP$2:$EP$34,$B$56,'_Confronto_Data'!$EQ$2:$EQ$34,$A95))</f>
        <v>0</v>
      </c>
      <c r="G95" s="13">
        <f>IF($B$56="","",SUMIFS('_Confronto_Data'!$EX$2:$EX$34,'_Confronto_Data'!$EP$2:$EP$34,$B$56,'_Confronto_Data'!$EQ$2:$EQ$34,$A95))</f>
        <v>0</v>
      </c>
      <c r="H95" cm="1">
        <f t="array" ref="H95">IF($B$56="","",_xlfn.XLOOKUP($B$56&amp;"|"&amp;$A95,'_Confronto_Data'!$FC$2:$FC$34,'_Confronto_Data'!$FD$2:$FD$34,""))</f>
        <v>0</v>
      </c>
      <c r="I95" s="12">
        <f>IF($D$56="","",SUMIFS('_Confronto_Data'!$EV$2:$EV$34,'_Confronto_Data'!$EP$2:$EP$34,$D$56,'_Confronto_Data'!$EQ$2:$EQ$34,$A95))</f>
        <v>0</v>
      </c>
      <c r="J95" s="12">
        <f>IF($D$56="","",SUMIFS('_Confronto_Data'!$EW$2:$EW$34,'_Confronto_Data'!$EP$2:$EP$34,$D$56,'_Confronto_Data'!$EQ$2:$EQ$34,$A95))</f>
        <v>0</v>
      </c>
      <c r="K95" s="13">
        <f>IF($D$56="","",SUMIFS('_Confronto_Data'!$EX$2:$EX$34,'_Confronto_Data'!$EP$2:$EP$34,$D$56,'_Confronto_Data'!$EQ$2:$EQ$34,$A95))</f>
        <v>0</v>
      </c>
      <c r="L95" cm="1">
        <f t="array" ref="L95">IF($D$56="","",_xlfn.XLOOKUP($D$56&amp;"|"&amp;$A95,'_Confronto_Data'!$FC$2:$FC$34,'_Confronto_Data'!$FD$2:$FD$34,""))</f>
        <v>0</v>
      </c>
    </row>
    <row r="96" spans="1:12">
      <c r="A96">
        <v>8</v>
      </c>
      <c r="B96" cm="1">
        <f t="array" ref="B96">_xlfn.XLOOKUP(A96,'_Confronto_Data'!$FO$2:$FO$19,'_Confronto_Data'!$FP$2:$FP$19,"")</f>
        <v>0</v>
      </c>
      <c r="C96" cm="1">
        <f t="array" ref="C96">_xlfn.XLOOKUP(A96,'_Confronto_Data'!$FO$2:$FO$19,'_Confronto_Data'!$FQ$2:$FQ$19,"")</f>
        <v>0</v>
      </c>
      <c r="D96" cm="1">
        <f t="array" ref="D96">_xlfn.XLOOKUP(A96,'_Confronto_Data'!$FO$2:$FO$19,'_Confronto_Data'!$FR$2:$FR$19,"")</f>
        <v>0</v>
      </c>
      <c r="E96" s="12">
        <f>IF($B$56="","",SUMIFS('_Confronto_Data'!$EV$2:$EV$34,'_Confronto_Data'!$EP$2:$EP$34,$B$56,'_Confronto_Data'!$EQ$2:$EQ$34,$A96))</f>
        <v>0</v>
      </c>
      <c r="F96" s="12">
        <f>IF($B$56="","",SUMIFS('_Confronto_Data'!$EW$2:$EW$34,'_Confronto_Data'!$EP$2:$EP$34,$B$56,'_Confronto_Data'!$EQ$2:$EQ$34,$A96))</f>
        <v>0</v>
      </c>
      <c r="G96" s="13">
        <f>IF($B$56="","",SUMIFS('_Confronto_Data'!$EX$2:$EX$34,'_Confronto_Data'!$EP$2:$EP$34,$B$56,'_Confronto_Data'!$EQ$2:$EQ$34,$A96))</f>
        <v>0</v>
      </c>
      <c r="H96" cm="1">
        <f t="array" ref="H96">IF($B$56="","",_xlfn.XLOOKUP($B$56&amp;"|"&amp;$A96,'_Confronto_Data'!$FC$2:$FC$34,'_Confronto_Data'!$FD$2:$FD$34,""))</f>
        <v>0</v>
      </c>
      <c r="I96" s="12">
        <f>IF($D$56="","",SUMIFS('_Confronto_Data'!$EV$2:$EV$34,'_Confronto_Data'!$EP$2:$EP$34,$D$56,'_Confronto_Data'!$EQ$2:$EQ$34,$A96))</f>
        <v>0</v>
      </c>
      <c r="J96" s="12">
        <f>IF($D$56="","",SUMIFS('_Confronto_Data'!$EW$2:$EW$34,'_Confronto_Data'!$EP$2:$EP$34,$D$56,'_Confronto_Data'!$EQ$2:$EQ$34,$A96))</f>
        <v>0</v>
      </c>
      <c r="K96" s="13">
        <f>IF($D$56="","",SUMIFS('_Confronto_Data'!$EX$2:$EX$34,'_Confronto_Data'!$EP$2:$EP$34,$D$56,'_Confronto_Data'!$EQ$2:$EQ$34,$A96))</f>
        <v>0</v>
      </c>
      <c r="L96" cm="1">
        <f t="array" ref="L96">IF($D$56="","",_xlfn.XLOOKUP($D$56&amp;"|"&amp;$A96,'_Confronto_Data'!$FC$2:$FC$34,'_Confronto_Data'!$FD$2:$FD$34,""))</f>
        <v>0</v>
      </c>
    </row>
    <row r="97" spans="1:12">
      <c r="A97">
        <v>9</v>
      </c>
      <c r="B97" cm="1">
        <f t="array" ref="B97">_xlfn.XLOOKUP(A97,'_Confronto_Data'!$FO$2:$FO$19,'_Confronto_Data'!$FP$2:$FP$19,"")</f>
        <v>0</v>
      </c>
      <c r="C97" cm="1">
        <f t="array" ref="C97">_xlfn.XLOOKUP(A97,'_Confronto_Data'!$FO$2:$FO$19,'_Confronto_Data'!$FQ$2:$FQ$19,"")</f>
        <v>0</v>
      </c>
      <c r="D97" cm="1">
        <f t="array" ref="D97">_xlfn.XLOOKUP(A97,'_Confronto_Data'!$FO$2:$FO$19,'_Confronto_Data'!$FR$2:$FR$19,"")</f>
        <v>0</v>
      </c>
      <c r="E97" s="12">
        <f>IF($B$56="","",SUMIFS('_Confronto_Data'!$EV$2:$EV$34,'_Confronto_Data'!$EP$2:$EP$34,$B$56,'_Confronto_Data'!$EQ$2:$EQ$34,$A97))</f>
        <v>0</v>
      </c>
      <c r="F97" s="12">
        <f>IF($B$56="","",SUMIFS('_Confronto_Data'!$EW$2:$EW$34,'_Confronto_Data'!$EP$2:$EP$34,$B$56,'_Confronto_Data'!$EQ$2:$EQ$34,$A97))</f>
        <v>0</v>
      </c>
      <c r="G97" s="13">
        <f>IF($B$56="","",SUMIFS('_Confronto_Data'!$EX$2:$EX$34,'_Confronto_Data'!$EP$2:$EP$34,$B$56,'_Confronto_Data'!$EQ$2:$EQ$34,$A97))</f>
        <v>0</v>
      </c>
      <c r="H97" cm="1">
        <f t="array" ref="H97">IF($B$56="","",_xlfn.XLOOKUP($B$56&amp;"|"&amp;$A97,'_Confronto_Data'!$FC$2:$FC$34,'_Confronto_Data'!$FD$2:$FD$34,""))</f>
        <v>0</v>
      </c>
      <c r="I97" s="12">
        <f>IF($D$56="","",SUMIFS('_Confronto_Data'!$EV$2:$EV$34,'_Confronto_Data'!$EP$2:$EP$34,$D$56,'_Confronto_Data'!$EQ$2:$EQ$34,$A97))</f>
        <v>0</v>
      </c>
      <c r="J97" s="12">
        <f>IF($D$56="","",SUMIFS('_Confronto_Data'!$EW$2:$EW$34,'_Confronto_Data'!$EP$2:$EP$34,$D$56,'_Confronto_Data'!$EQ$2:$EQ$34,$A97))</f>
        <v>0</v>
      </c>
      <c r="K97" s="13">
        <f>IF($D$56="","",SUMIFS('_Confronto_Data'!$EX$2:$EX$34,'_Confronto_Data'!$EP$2:$EP$34,$D$56,'_Confronto_Data'!$EQ$2:$EQ$34,$A97))</f>
        <v>0</v>
      </c>
      <c r="L97" cm="1">
        <f t="array" ref="L97">IF($D$56="","",_xlfn.XLOOKUP($D$56&amp;"|"&amp;$A97,'_Confronto_Data'!$FC$2:$FC$34,'_Confronto_Data'!$FD$2:$FD$34,""))</f>
        <v>0</v>
      </c>
    </row>
    <row r="98" spans="1:12">
      <c r="A98">
        <v>10</v>
      </c>
      <c r="B98" cm="1">
        <f t="array" ref="B98">_xlfn.XLOOKUP(A98,'_Confronto_Data'!$FO$2:$FO$19,'_Confronto_Data'!$FP$2:$FP$19,"")</f>
        <v>0</v>
      </c>
      <c r="C98" cm="1">
        <f t="array" ref="C98">_xlfn.XLOOKUP(A98,'_Confronto_Data'!$FO$2:$FO$19,'_Confronto_Data'!$FQ$2:$FQ$19,"")</f>
        <v>0</v>
      </c>
      <c r="D98" cm="1">
        <f t="array" ref="D98">_xlfn.XLOOKUP(A98,'_Confronto_Data'!$FO$2:$FO$19,'_Confronto_Data'!$FR$2:$FR$19,"")</f>
        <v>0</v>
      </c>
      <c r="E98" s="12">
        <f>IF($B$56="","",SUMIFS('_Confronto_Data'!$EV$2:$EV$34,'_Confronto_Data'!$EP$2:$EP$34,$B$56,'_Confronto_Data'!$EQ$2:$EQ$34,$A98))</f>
        <v>0</v>
      </c>
      <c r="F98" s="12">
        <f>IF($B$56="","",SUMIFS('_Confronto_Data'!$EW$2:$EW$34,'_Confronto_Data'!$EP$2:$EP$34,$B$56,'_Confronto_Data'!$EQ$2:$EQ$34,$A98))</f>
        <v>0</v>
      </c>
      <c r="G98" s="13">
        <f>IF($B$56="","",SUMIFS('_Confronto_Data'!$EX$2:$EX$34,'_Confronto_Data'!$EP$2:$EP$34,$B$56,'_Confronto_Data'!$EQ$2:$EQ$34,$A98))</f>
        <v>0</v>
      </c>
      <c r="H98" cm="1">
        <f t="array" ref="H98">IF($B$56="","",_xlfn.XLOOKUP($B$56&amp;"|"&amp;$A98,'_Confronto_Data'!$FC$2:$FC$34,'_Confronto_Data'!$FD$2:$FD$34,""))</f>
        <v>0</v>
      </c>
      <c r="I98" s="12">
        <f>IF($D$56="","",SUMIFS('_Confronto_Data'!$EV$2:$EV$34,'_Confronto_Data'!$EP$2:$EP$34,$D$56,'_Confronto_Data'!$EQ$2:$EQ$34,$A98))</f>
        <v>0</v>
      </c>
      <c r="J98" s="12">
        <f>IF($D$56="","",SUMIFS('_Confronto_Data'!$EW$2:$EW$34,'_Confronto_Data'!$EP$2:$EP$34,$D$56,'_Confronto_Data'!$EQ$2:$EQ$34,$A98))</f>
        <v>0</v>
      </c>
      <c r="K98" s="13">
        <f>IF($D$56="","",SUMIFS('_Confronto_Data'!$EX$2:$EX$34,'_Confronto_Data'!$EP$2:$EP$34,$D$56,'_Confronto_Data'!$EQ$2:$EQ$34,$A98))</f>
        <v>0</v>
      </c>
      <c r="L98" cm="1">
        <f t="array" ref="L98">IF($D$56="","",_xlfn.XLOOKUP($D$56&amp;"|"&amp;$A98,'_Confronto_Data'!$FC$2:$FC$34,'_Confronto_Data'!$FD$2:$FD$34,""))</f>
        <v>0</v>
      </c>
    </row>
    <row r="99" spans="1:12">
      <c r="A99">
        <v>11</v>
      </c>
      <c r="B99" cm="1">
        <f t="array" ref="B99">_xlfn.XLOOKUP(A99,'_Confronto_Data'!$FO$2:$FO$19,'_Confronto_Data'!$FP$2:$FP$19,"")</f>
        <v>0</v>
      </c>
      <c r="C99" cm="1">
        <f t="array" ref="C99">_xlfn.XLOOKUP(A99,'_Confronto_Data'!$FO$2:$FO$19,'_Confronto_Data'!$FQ$2:$FQ$19,"")</f>
        <v>0</v>
      </c>
      <c r="D99" cm="1">
        <f t="array" ref="D99">_xlfn.XLOOKUP(A99,'_Confronto_Data'!$FO$2:$FO$19,'_Confronto_Data'!$FR$2:$FR$19,"")</f>
        <v>0</v>
      </c>
      <c r="E99" s="12">
        <f>IF($B$56="","",SUMIFS('_Confronto_Data'!$EV$2:$EV$34,'_Confronto_Data'!$EP$2:$EP$34,$B$56,'_Confronto_Data'!$EQ$2:$EQ$34,$A99))</f>
        <v>0</v>
      </c>
      <c r="F99" s="12">
        <f>IF($B$56="","",SUMIFS('_Confronto_Data'!$EW$2:$EW$34,'_Confronto_Data'!$EP$2:$EP$34,$B$56,'_Confronto_Data'!$EQ$2:$EQ$34,$A99))</f>
        <v>0</v>
      </c>
      <c r="G99" s="13">
        <f>IF($B$56="","",SUMIFS('_Confronto_Data'!$EX$2:$EX$34,'_Confronto_Data'!$EP$2:$EP$34,$B$56,'_Confronto_Data'!$EQ$2:$EQ$34,$A99))</f>
        <v>0</v>
      </c>
      <c r="H99" cm="1">
        <f t="array" ref="H99">IF($B$56="","",_xlfn.XLOOKUP($B$56&amp;"|"&amp;$A99,'_Confronto_Data'!$FC$2:$FC$34,'_Confronto_Data'!$FD$2:$FD$34,""))</f>
        <v>0</v>
      </c>
      <c r="I99" s="12">
        <f>IF($D$56="","",SUMIFS('_Confronto_Data'!$EV$2:$EV$34,'_Confronto_Data'!$EP$2:$EP$34,$D$56,'_Confronto_Data'!$EQ$2:$EQ$34,$A99))</f>
        <v>0</v>
      </c>
      <c r="J99" s="12">
        <f>IF($D$56="","",SUMIFS('_Confronto_Data'!$EW$2:$EW$34,'_Confronto_Data'!$EP$2:$EP$34,$D$56,'_Confronto_Data'!$EQ$2:$EQ$34,$A99))</f>
        <v>0</v>
      </c>
      <c r="K99" s="13">
        <f>IF($D$56="","",SUMIFS('_Confronto_Data'!$EX$2:$EX$34,'_Confronto_Data'!$EP$2:$EP$34,$D$56,'_Confronto_Data'!$EQ$2:$EQ$34,$A99))</f>
        <v>0</v>
      </c>
      <c r="L99" cm="1">
        <f t="array" ref="L99">IF($D$56="","",_xlfn.XLOOKUP($D$56&amp;"|"&amp;$A99,'_Confronto_Data'!$FC$2:$FC$34,'_Confronto_Data'!$FD$2:$FD$34,""))</f>
        <v>0</v>
      </c>
    </row>
    <row r="100" spans="1:12">
      <c r="A100">
        <v>12</v>
      </c>
      <c r="B100" cm="1">
        <f t="array" ref="B100">_xlfn.XLOOKUP(A100,'_Confronto_Data'!$FO$2:$FO$19,'_Confronto_Data'!$FP$2:$FP$19,"")</f>
        <v>0</v>
      </c>
      <c r="C100" cm="1">
        <f t="array" ref="C100">_xlfn.XLOOKUP(A100,'_Confronto_Data'!$FO$2:$FO$19,'_Confronto_Data'!$FQ$2:$FQ$19,"")</f>
        <v>0</v>
      </c>
      <c r="D100" cm="1">
        <f t="array" ref="D100">_xlfn.XLOOKUP(A100,'_Confronto_Data'!$FO$2:$FO$19,'_Confronto_Data'!$FR$2:$FR$19,"")</f>
        <v>0</v>
      </c>
      <c r="E100" s="12">
        <f>IF($B$56="","",SUMIFS('_Confronto_Data'!$EV$2:$EV$34,'_Confronto_Data'!$EP$2:$EP$34,$B$56,'_Confronto_Data'!$EQ$2:$EQ$34,$A100))</f>
        <v>0</v>
      </c>
      <c r="F100" s="12">
        <f>IF($B$56="","",SUMIFS('_Confronto_Data'!$EW$2:$EW$34,'_Confronto_Data'!$EP$2:$EP$34,$B$56,'_Confronto_Data'!$EQ$2:$EQ$34,$A100))</f>
        <v>0</v>
      </c>
      <c r="G100" s="13">
        <f>IF($B$56="","",SUMIFS('_Confronto_Data'!$EX$2:$EX$34,'_Confronto_Data'!$EP$2:$EP$34,$B$56,'_Confronto_Data'!$EQ$2:$EQ$34,$A100))</f>
        <v>0</v>
      </c>
      <c r="H100" cm="1">
        <f t="array" ref="H100">IF($B$56="","",_xlfn.XLOOKUP($B$56&amp;"|"&amp;$A100,'_Confronto_Data'!$FC$2:$FC$34,'_Confronto_Data'!$FD$2:$FD$34,""))</f>
        <v>0</v>
      </c>
      <c r="I100" s="12">
        <f>IF($D$56="","",SUMIFS('_Confronto_Data'!$EV$2:$EV$34,'_Confronto_Data'!$EP$2:$EP$34,$D$56,'_Confronto_Data'!$EQ$2:$EQ$34,$A100))</f>
        <v>0</v>
      </c>
      <c r="J100" s="12">
        <f>IF($D$56="","",SUMIFS('_Confronto_Data'!$EW$2:$EW$34,'_Confronto_Data'!$EP$2:$EP$34,$D$56,'_Confronto_Data'!$EQ$2:$EQ$34,$A100))</f>
        <v>0</v>
      </c>
      <c r="K100" s="13">
        <f>IF($D$56="","",SUMIFS('_Confronto_Data'!$EX$2:$EX$34,'_Confronto_Data'!$EP$2:$EP$34,$D$56,'_Confronto_Data'!$EQ$2:$EQ$34,$A100))</f>
        <v>0</v>
      </c>
      <c r="L100" cm="1">
        <f t="array" ref="L100">IF($D$56="","",_xlfn.XLOOKUP($D$56&amp;"|"&amp;$A100,'_Confronto_Data'!$FC$2:$FC$34,'_Confronto_Data'!$FD$2:$FD$34,""))</f>
        <v>0</v>
      </c>
    </row>
    <row r="101" spans="1:12">
      <c r="A101">
        <v>13</v>
      </c>
      <c r="B101" cm="1">
        <f t="array" ref="B101">_xlfn.XLOOKUP(A101,'_Confronto_Data'!$FO$2:$FO$19,'_Confronto_Data'!$FP$2:$FP$19,"")</f>
        <v>0</v>
      </c>
      <c r="C101" cm="1">
        <f t="array" ref="C101">_xlfn.XLOOKUP(A101,'_Confronto_Data'!$FO$2:$FO$19,'_Confronto_Data'!$FQ$2:$FQ$19,"")</f>
        <v>0</v>
      </c>
      <c r="D101" cm="1">
        <f t="array" ref="D101">_xlfn.XLOOKUP(A101,'_Confronto_Data'!$FO$2:$FO$19,'_Confronto_Data'!$FR$2:$FR$19,"")</f>
        <v>0</v>
      </c>
      <c r="E101" s="12">
        <f>IF($B$56="","",SUMIFS('_Confronto_Data'!$EV$2:$EV$34,'_Confronto_Data'!$EP$2:$EP$34,$B$56,'_Confronto_Data'!$EQ$2:$EQ$34,$A101))</f>
        <v>0</v>
      </c>
      <c r="F101" s="12">
        <f>IF($B$56="","",SUMIFS('_Confronto_Data'!$EW$2:$EW$34,'_Confronto_Data'!$EP$2:$EP$34,$B$56,'_Confronto_Data'!$EQ$2:$EQ$34,$A101))</f>
        <v>0</v>
      </c>
      <c r="G101" s="13">
        <f>IF($B$56="","",SUMIFS('_Confronto_Data'!$EX$2:$EX$34,'_Confronto_Data'!$EP$2:$EP$34,$B$56,'_Confronto_Data'!$EQ$2:$EQ$34,$A101))</f>
        <v>0</v>
      </c>
      <c r="H101" cm="1">
        <f t="array" ref="H101">IF($B$56="","",_xlfn.XLOOKUP($B$56&amp;"|"&amp;$A101,'_Confronto_Data'!$FC$2:$FC$34,'_Confronto_Data'!$FD$2:$FD$34,""))</f>
        <v>0</v>
      </c>
      <c r="I101" s="12">
        <f>IF($D$56="","",SUMIFS('_Confronto_Data'!$EV$2:$EV$34,'_Confronto_Data'!$EP$2:$EP$34,$D$56,'_Confronto_Data'!$EQ$2:$EQ$34,$A101))</f>
        <v>0</v>
      </c>
      <c r="J101" s="12">
        <f>IF($D$56="","",SUMIFS('_Confronto_Data'!$EW$2:$EW$34,'_Confronto_Data'!$EP$2:$EP$34,$D$56,'_Confronto_Data'!$EQ$2:$EQ$34,$A101))</f>
        <v>0</v>
      </c>
      <c r="K101" s="13">
        <f>IF($D$56="","",SUMIFS('_Confronto_Data'!$EX$2:$EX$34,'_Confronto_Data'!$EP$2:$EP$34,$D$56,'_Confronto_Data'!$EQ$2:$EQ$34,$A101))</f>
        <v>0</v>
      </c>
      <c r="L101" cm="1">
        <f t="array" ref="L101">IF($D$56="","",_xlfn.XLOOKUP($D$56&amp;"|"&amp;$A101,'_Confronto_Data'!$FC$2:$FC$34,'_Confronto_Data'!$FD$2:$FD$34,""))</f>
        <v>0</v>
      </c>
    </row>
    <row r="102" spans="1:12">
      <c r="A102">
        <v>14</v>
      </c>
      <c r="B102" cm="1">
        <f t="array" ref="B102">_xlfn.XLOOKUP(A102,'_Confronto_Data'!$FO$2:$FO$19,'_Confronto_Data'!$FP$2:$FP$19,"")</f>
        <v>0</v>
      </c>
      <c r="C102" cm="1">
        <f t="array" ref="C102">_xlfn.XLOOKUP(A102,'_Confronto_Data'!$FO$2:$FO$19,'_Confronto_Data'!$FQ$2:$FQ$19,"")</f>
        <v>0</v>
      </c>
      <c r="D102" cm="1">
        <f t="array" ref="D102">_xlfn.XLOOKUP(A102,'_Confronto_Data'!$FO$2:$FO$19,'_Confronto_Data'!$FR$2:$FR$19,"")</f>
        <v>0</v>
      </c>
      <c r="E102" s="12">
        <f>IF($B$56="","",SUMIFS('_Confronto_Data'!$EV$2:$EV$34,'_Confronto_Data'!$EP$2:$EP$34,$B$56,'_Confronto_Data'!$EQ$2:$EQ$34,$A102))</f>
        <v>0</v>
      </c>
      <c r="F102" s="12">
        <f>IF($B$56="","",SUMIFS('_Confronto_Data'!$EW$2:$EW$34,'_Confronto_Data'!$EP$2:$EP$34,$B$56,'_Confronto_Data'!$EQ$2:$EQ$34,$A102))</f>
        <v>0</v>
      </c>
      <c r="G102" s="13">
        <f>IF($B$56="","",SUMIFS('_Confronto_Data'!$EX$2:$EX$34,'_Confronto_Data'!$EP$2:$EP$34,$B$56,'_Confronto_Data'!$EQ$2:$EQ$34,$A102))</f>
        <v>0</v>
      </c>
      <c r="H102" cm="1">
        <f t="array" ref="H102">IF($B$56="","",_xlfn.XLOOKUP($B$56&amp;"|"&amp;$A102,'_Confronto_Data'!$FC$2:$FC$34,'_Confronto_Data'!$FD$2:$FD$34,""))</f>
        <v>0</v>
      </c>
      <c r="I102" s="12">
        <f>IF($D$56="","",SUMIFS('_Confronto_Data'!$EV$2:$EV$34,'_Confronto_Data'!$EP$2:$EP$34,$D$56,'_Confronto_Data'!$EQ$2:$EQ$34,$A102))</f>
        <v>0</v>
      </c>
      <c r="J102" s="12">
        <f>IF($D$56="","",SUMIFS('_Confronto_Data'!$EW$2:$EW$34,'_Confronto_Data'!$EP$2:$EP$34,$D$56,'_Confronto_Data'!$EQ$2:$EQ$34,$A102))</f>
        <v>0</v>
      </c>
      <c r="K102" s="13">
        <f>IF($D$56="","",SUMIFS('_Confronto_Data'!$EX$2:$EX$34,'_Confronto_Data'!$EP$2:$EP$34,$D$56,'_Confronto_Data'!$EQ$2:$EQ$34,$A102))</f>
        <v>0</v>
      </c>
      <c r="L102" cm="1">
        <f t="array" ref="L102">IF($D$56="","",_xlfn.XLOOKUP($D$56&amp;"|"&amp;$A102,'_Confronto_Data'!$FC$2:$FC$34,'_Confronto_Data'!$FD$2:$FD$34,""))</f>
        <v>0</v>
      </c>
    </row>
    <row r="103" spans="1:12">
      <c r="A103">
        <v>15</v>
      </c>
      <c r="B103" cm="1">
        <f t="array" ref="B103">_xlfn.XLOOKUP(A103,'_Confronto_Data'!$FO$2:$FO$19,'_Confronto_Data'!$FP$2:$FP$19,"")</f>
        <v>0</v>
      </c>
      <c r="C103" cm="1">
        <f t="array" ref="C103">_xlfn.XLOOKUP(A103,'_Confronto_Data'!$FO$2:$FO$19,'_Confronto_Data'!$FQ$2:$FQ$19,"")</f>
        <v>0</v>
      </c>
      <c r="D103" cm="1">
        <f t="array" ref="D103">_xlfn.XLOOKUP(A103,'_Confronto_Data'!$FO$2:$FO$19,'_Confronto_Data'!$FR$2:$FR$19,"")</f>
        <v>0</v>
      </c>
      <c r="E103" s="12">
        <f>IF($B$56="","",SUMIFS('_Confronto_Data'!$EV$2:$EV$34,'_Confronto_Data'!$EP$2:$EP$34,$B$56,'_Confronto_Data'!$EQ$2:$EQ$34,$A103))</f>
        <v>0</v>
      </c>
      <c r="F103" s="12">
        <f>IF($B$56="","",SUMIFS('_Confronto_Data'!$EW$2:$EW$34,'_Confronto_Data'!$EP$2:$EP$34,$B$56,'_Confronto_Data'!$EQ$2:$EQ$34,$A103))</f>
        <v>0</v>
      </c>
      <c r="G103" s="13">
        <f>IF($B$56="","",SUMIFS('_Confronto_Data'!$EX$2:$EX$34,'_Confronto_Data'!$EP$2:$EP$34,$B$56,'_Confronto_Data'!$EQ$2:$EQ$34,$A103))</f>
        <v>0</v>
      </c>
      <c r="H103" cm="1">
        <f t="array" ref="H103">IF($B$56="","",_xlfn.XLOOKUP($B$56&amp;"|"&amp;$A103,'_Confronto_Data'!$FC$2:$FC$34,'_Confronto_Data'!$FD$2:$FD$34,""))</f>
        <v>0</v>
      </c>
      <c r="I103" s="12">
        <f>IF($D$56="","",SUMIFS('_Confronto_Data'!$EV$2:$EV$34,'_Confronto_Data'!$EP$2:$EP$34,$D$56,'_Confronto_Data'!$EQ$2:$EQ$34,$A103))</f>
        <v>0</v>
      </c>
      <c r="J103" s="12">
        <f>IF($D$56="","",SUMIFS('_Confronto_Data'!$EW$2:$EW$34,'_Confronto_Data'!$EP$2:$EP$34,$D$56,'_Confronto_Data'!$EQ$2:$EQ$34,$A103))</f>
        <v>0</v>
      </c>
      <c r="K103" s="13">
        <f>IF($D$56="","",SUMIFS('_Confronto_Data'!$EX$2:$EX$34,'_Confronto_Data'!$EP$2:$EP$34,$D$56,'_Confronto_Data'!$EQ$2:$EQ$34,$A103))</f>
        <v>0</v>
      </c>
      <c r="L103" cm="1">
        <f t="array" ref="L103">IF($D$56="","",_xlfn.XLOOKUP($D$56&amp;"|"&amp;$A103,'_Confronto_Data'!$FC$2:$FC$34,'_Confronto_Data'!$FD$2:$FD$34,""))</f>
        <v>0</v>
      </c>
    </row>
    <row r="104" spans="1:12">
      <c r="A104">
        <v>16</v>
      </c>
      <c r="B104" cm="1">
        <f t="array" ref="B104">_xlfn.XLOOKUP(A104,'_Confronto_Data'!$FO$2:$FO$19,'_Confronto_Data'!$FP$2:$FP$19,"")</f>
        <v>0</v>
      </c>
      <c r="C104" cm="1">
        <f t="array" ref="C104">_xlfn.XLOOKUP(A104,'_Confronto_Data'!$FO$2:$FO$19,'_Confronto_Data'!$FQ$2:$FQ$19,"")</f>
        <v>0</v>
      </c>
      <c r="D104" cm="1">
        <f t="array" ref="D104">_xlfn.XLOOKUP(A104,'_Confronto_Data'!$FO$2:$FO$19,'_Confronto_Data'!$FR$2:$FR$19,"")</f>
        <v>0</v>
      </c>
      <c r="E104" s="12">
        <f>IF($B$56="","",SUMIFS('_Confronto_Data'!$EV$2:$EV$34,'_Confronto_Data'!$EP$2:$EP$34,$B$56,'_Confronto_Data'!$EQ$2:$EQ$34,$A104))</f>
        <v>0</v>
      </c>
      <c r="F104" s="12">
        <f>IF($B$56="","",SUMIFS('_Confronto_Data'!$EW$2:$EW$34,'_Confronto_Data'!$EP$2:$EP$34,$B$56,'_Confronto_Data'!$EQ$2:$EQ$34,$A104))</f>
        <v>0</v>
      </c>
      <c r="G104" s="13">
        <f>IF($B$56="","",SUMIFS('_Confronto_Data'!$EX$2:$EX$34,'_Confronto_Data'!$EP$2:$EP$34,$B$56,'_Confronto_Data'!$EQ$2:$EQ$34,$A104))</f>
        <v>0</v>
      </c>
      <c r="H104" cm="1">
        <f t="array" ref="H104">IF($B$56="","",_xlfn.XLOOKUP($B$56&amp;"|"&amp;$A104,'_Confronto_Data'!$FC$2:$FC$34,'_Confronto_Data'!$FD$2:$FD$34,""))</f>
        <v>0</v>
      </c>
      <c r="I104" s="12">
        <f>IF($D$56="","",SUMIFS('_Confronto_Data'!$EV$2:$EV$34,'_Confronto_Data'!$EP$2:$EP$34,$D$56,'_Confronto_Data'!$EQ$2:$EQ$34,$A104))</f>
        <v>0</v>
      </c>
      <c r="J104" s="12">
        <f>IF($D$56="","",SUMIFS('_Confronto_Data'!$EW$2:$EW$34,'_Confronto_Data'!$EP$2:$EP$34,$D$56,'_Confronto_Data'!$EQ$2:$EQ$34,$A104))</f>
        <v>0</v>
      </c>
      <c r="K104" s="13">
        <f>IF($D$56="","",SUMIFS('_Confronto_Data'!$EX$2:$EX$34,'_Confronto_Data'!$EP$2:$EP$34,$D$56,'_Confronto_Data'!$EQ$2:$EQ$34,$A104))</f>
        <v>0</v>
      </c>
      <c r="L104" cm="1">
        <f t="array" ref="L104">IF($D$56="","",_xlfn.XLOOKUP($D$56&amp;"|"&amp;$A104,'_Confronto_Data'!$FC$2:$FC$34,'_Confronto_Data'!$FD$2:$FD$34,""))</f>
        <v>0</v>
      </c>
    </row>
    <row r="105" spans="1:12">
      <c r="A105">
        <v>17</v>
      </c>
      <c r="B105" cm="1">
        <f t="array" ref="B105">_xlfn.XLOOKUP(A105,'_Confronto_Data'!$FO$2:$FO$19,'_Confronto_Data'!$FP$2:$FP$19,"")</f>
        <v>0</v>
      </c>
      <c r="C105" cm="1">
        <f t="array" ref="C105">_xlfn.XLOOKUP(A105,'_Confronto_Data'!$FO$2:$FO$19,'_Confronto_Data'!$FQ$2:$FQ$19,"")</f>
        <v>0</v>
      </c>
      <c r="D105" cm="1">
        <f t="array" ref="D105">_xlfn.XLOOKUP(A105,'_Confronto_Data'!$FO$2:$FO$19,'_Confronto_Data'!$FR$2:$FR$19,"")</f>
        <v>0</v>
      </c>
      <c r="E105" s="12">
        <f>IF($B$56="","",SUMIFS('_Confronto_Data'!$EV$2:$EV$34,'_Confronto_Data'!$EP$2:$EP$34,$B$56,'_Confronto_Data'!$EQ$2:$EQ$34,$A105))</f>
        <v>0</v>
      </c>
      <c r="F105" s="12">
        <f>IF($B$56="","",SUMIFS('_Confronto_Data'!$EW$2:$EW$34,'_Confronto_Data'!$EP$2:$EP$34,$B$56,'_Confronto_Data'!$EQ$2:$EQ$34,$A105))</f>
        <v>0</v>
      </c>
      <c r="G105" s="13">
        <f>IF($B$56="","",SUMIFS('_Confronto_Data'!$EX$2:$EX$34,'_Confronto_Data'!$EP$2:$EP$34,$B$56,'_Confronto_Data'!$EQ$2:$EQ$34,$A105))</f>
        <v>0</v>
      </c>
      <c r="H105" cm="1">
        <f t="array" ref="H105">IF($B$56="","",_xlfn.XLOOKUP($B$56&amp;"|"&amp;$A105,'_Confronto_Data'!$FC$2:$FC$34,'_Confronto_Data'!$FD$2:$FD$34,""))</f>
        <v>0</v>
      </c>
      <c r="I105" s="12">
        <f>IF($D$56="","",SUMIFS('_Confronto_Data'!$EV$2:$EV$34,'_Confronto_Data'!$EP$2:$EP$34,$D$56,'_Confronto_Data'!$EQ$2:$EQ$34,$A105))</f>
        <v>0</v>
      </c>
      <c r="J105" s="12">
        <f>IF($D$56="","",SUMIFS('_Confronto_Data'!$EW$2:$EW$34,'_Confronto_Data'!$EP$2:$EP$34,$D$56,'_Confronto_Data'!$EQ$2:$EQ$34,$A105))</f>
        <v>0</v>
      </c>
      <c r="K105" s="13">
        <f>IF($D$56="","",SUMIFS('_Confronto_Data'!$EX$2:$EX$34,'_Confronto_Data'!$EP$2:$EP$34,$D$56,'_Confronto_Data'!$EQ$2:$EQ$34,$A105))</f>
        <v>0</v>
      </c>
      <c r="L105" cm="1">
        <f t="array" ref="L105">IF($D$56="","",_xlfn.XLOOKUP($D$56&amp;"|"&amp;$A105,'_Confronto_Data'!$FC$2:$FC$34,'_Confronto_Data'!$FD$2:$FD$34,""))</f>
        <v>0</v>
      </c>
    </row>
    <row r="106" spans="1:12">
      <c r="A106">
        <v>18</v>
      </c>
      <c r="B106" cm="1">
        <f t="array" ref="B106">_xlfn.XLOOKUP(A106,'_Confronto_Data'!$FO$2:$FO$19,'_Confronto_Data'!$FP$2:$FP$19,"")</f>
        <v>0</v>
      </c>
      <c r="C106" cm="1">
        <f t="array" ref="C106">_xlfn.XLOOKUP(A106,'_Confronto_Data'!$FO$2:$FO$19,'_Confronto_Data'!$FQ$2:$FQ$19,"")</f>
        <v>0</v>
      </c>
      <c r="D106" cm="1">
        <f t="array" ref="D106">_xlfn.XLOOKUP(A106,'_Confronto_Data'!$FO$2:$FO$19,'_Confronto_Data'!$FR$2:$FR$19,"")</f>
        <v>0</v>
      </c>
      <c r="E106" s="12">
        <f>IF($B$56="","",SUMIFS('_Confronto_Data'!$EV$2:$EV$34,'_Confronto_Data'!$EP$2:$EP$34,$B$56,'_Confronto_Data'!$EQ$2:$EQ$34,$A106))</f>
        <v>0</v>
      </c>
      <c r="F106" s="12">
        <f>IF($B$56="","",SUMIFS('_Confronto_Data'!$EW$2:$EW$34,'_Confronto_Data'!$EP$2:$EP$34,$B$56,'_Confronto_Data'!$EQ$2:$EQ$34,$A106))</f>
        <v>0</v>
      </c>
      <c r="G106" s="13">
        <f>IF($B$56="","",SUMIFS('_Confronto_Data'!$EX$2:$EX$34,'_Confronto_Data'!$EP$2:$EP$34,$B$56,'_Confronto_Data'!$EQ$2:$EQ$34,$A106))</f>
        <v>0</v>
      </c>
      <c r="H106" cm="1">
        <f t="array" ref="H106">IF($B$56="","",_xlfn.XLOOKUP($B$56&amp;"|"&amp;$A106,'_Confronto_Data'!$FC$2:$FC$34,'_Confronto_Data'!$FD$2:$FD$34,""))</f>
        <v>0</v>
      </c>
      <c r="I106" s="12">
        <f>IF($D$56="","",SUMIFS('_Confronto_Data'!$EV$2:$EV$34,'_Confronto_Data'!$EP$2:$EP$34,$D$56,'_Confronto_Data'!$EQ$2:$EQ$34,$A106))</f>
        <v>0</v>
      </c>
      <c r="J106" s="12">
        <f>IF($D$56="","",SUMIFS('_Confronto_Data'!$EW$2:$EW$34,'_Confronto_Data'!$EP$2:$EP$34,$D$56,'_Confronto_Data'!$EQ$2:$EQ$34,$A106))</f>
        <v>0</v>
      </c>
      <c r="K106" s="13">
        <f>IF($D$56="","",SUMIFS('_Confronto_Data'!$EX$2:$EX$34,'_Confronto_Data'!$EP$2:$EP$34,$D$56,'_Confronto_Data'!$EQ$2:$EQ$34,$A106))</f>
        <v>0</v>
      </c>
      <c r="L106" cm="1">
        <f t="array" ref="L106">IF($D$56="","",_xlfn.XLOOKUP($D$56&amp;"|"&amp;$A106,'_Confronto_Data'!$FC$2:$FC$34,'_Confronto_Data'!$FD$2:$FD$34,""))</f>
        <v>0</v>
      </c>
    </row>
    <row r="108" spans="1:12">
      <c r="A108" s="6" t="s">
        <v>52</v>
      </c>
    </row>
    <row r="109" spans="1:12">
      <c r="A109" s="14" t="s">
        <v>303</v>
      </c>
    </row>
    <row r="110" spans="1:12">
      <c r="A110" s="14" t="s">
        <v>304</v>
      </c>
    </row>
  </sheetData>
  <dataValidations count="4">
    <dataValidation type="list" allowBlank="1" showInputMessage="1" showErrorMessage="1" sqref="B5">
      <formula1>'_Confronto_Data'!$A$2:$A$17</formula1>
    </dataValidation>
    <dataValidation type="list" allowBlank="1" showInputMessage="1" showErrorMessage="1" sqref="D5">
      <formula1>'_Confronto_Data'!$A$2:$A$17</formula1>
    </dataValidation>
    <dataValidation type="list" allowBlank="1" showInputMessage="1" showErrorMessage="1" sqref="B56">
      <formula1>'_Confronto_Data'!$C$2:$C$4</formula1>
    </dataValidation>
    <dataValidation type="list" allowBlank="1" showInputMessage="1" showErrorMessage="1" sqref="D56">
      <formula1>'_Confronto_Data'!$C$2:$C$4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R195"/>
  <sheetViews>
    <sheetView workbookViewId="0"/>
  </sheetViews>
  <sheetFormatPr defaultRowHeight="15"/>
  <sheetData>
    <row r="1" spans="1:174">
      <c r="A1" s="9" t="s">
        <v>126</v>
      </c>
      <c r="C1" s="9" t="s">
        <v>131</v>
      </c>
      <c r="F1" s="9" t="s">
        <v>57</v>
      </c>
      <c r="G1" s="9" t="s">
        <v>132</v>
      </c>
      <c r="H1" s="9" t="s">
        <v>133</v>
      </c>
      <c r="I1" s="9" t="s">
        <v>134</v>
      </c>
      <c r="J1" s="9" t="s">
        <v>135</v>
      </c>
      <c r="K1" s="9" t="s">
        <v>136</v>
      </c>
      <c r="L1" s="9" t="s">
        <v>137</v>
      </c>
      <c r="M1" s="9" t="s">
        <v>138</v>
      </c>
      <c r="N1" s="9" t="s">
        <v>139</v>
      </c>
      <c r="O1" s="9" t="s">
        <v>140</v>
      </c>
      <c r="P1" s="9" t="s">
        <v>141</v>
      </c>
      <c r="Q1" s="9" t="s">
        <v>114</v>
      </c>
      <c r="R1" s="9" t="s">
        <v>58</v>
      </c>
      <c r="S1" s="9" t="s">
        <v>142</v>
      </c>
      <c r="T1" s="9" t="s">
        <v>67</v>
      </c>
      <c r="U1" s="9" t="s">
        <v>143</v>
      </c>
      <c r="V1" s="9" t="s">
        <v>92</v>
      </c>
      <c r="W1" s="9" t="s">
        <v>144</v>
      </c>
      <c r="X1" s="9" t="s">
        <v>145</v>
      </c>
      <c r="Y1" s="9" t="s">
        <v>146</v>
      </c>
      <c r="Z1" s="9" t="s">
        <v>147</v>
      </c>
      <c r="AA1" s="9" t="s">
        <v>148</v>
      </c>
      <c r="AB1" s="9" t="s">
        <v>149</v>
      </c>
      <c r="AC1" s="9" t="s">
        <v>150</v>
      </c>
      <c r="AD1" s="9" t="s">
        <v>112</v>
      </c>
      <c r="AE1" s="9" t="s">
        <v>151</v>
      </c>
      <c r="AF1" s="9" t="s">
        <v>152</v>
      </c>
      <c r="AG1" s="9" t="s">
        <v>153</v>
      </c>
      <c r="AH1" s="9" t="s">
        <v>154</v>
      </c>
      <c r="AI1" s="9" t="s">
        <v>155</v>
      </c>
      <c r="AJ1" s="9" t="s">
        <v>156</v>
      </c>
      <c r="AK1" s="9" t="s">
        <v>157</v>
      </c>
      <c r="AL1" s="9" t="s">
        <v>115</v>
      </c>
      <c r="AM1" s="9" t="s">
        <v>158</v>
      </c>
      <c r="AN1" s="9" t="s">
        <v>159</v>
      </c>
      <c r="AO1" s="9" t="s">
        <v>160</v>
      </c>
      <c r="AP1" s="9" t="s">
        <v>161</v>
      </c>
      <c r="AQ1" s="9" t="s">
        <v>162</v>
      </c>
      <c r="AR1" s="9" t="s">
        <v>113</v>
      </c>
      <c r="AS1" s="9" t="s">
        <v>90</v>
      </c>
      <c r="AT1" s="9" t="s">
        <v>91</v>
      </c>
      <c r="AU1" s="9" t="s">
        <v>163</v>
      </c>
      <c r="AV1" s="9" t="s">
        <v>164</v>
      </c>
      <c r="AW1" s="9" t="s">
        <v>73</v>
      </c>
      <c r="AX1" s="9" t="s">
        <v>165</v>
      </c>
      <c r="AY1" s="9" t="s">
        <v>116</v>
      </c>
      <c r="AZ1" s="9" t="s">
        <v>72</v>
      </c>
      <c r="BI1" s="9" t="s">
        <v>57</v>
      </c>
      <c r="BJ1" s="9" t="s">
        <v>132</v>
      </c>
      <c r="BK1" s="9" t="s">
        <v>133</v>
      </c>
      <c r="BL1" s="9" t="s">
        <v>134</v>
      </c>
      <c r="BM1" s="9" t="s">
        <v>135</v>
      </c>
      <c r="BN1" s="9" t="s">
        <v>136</v>
      </c>
      <c r="BO1" s="9" t="s">
        <v>137</v>
      </c>
      <c r="BP1" s="9" t="s">
        <v>138</v>
      </c>
      <c r="BQ1" s="9" t="s">
        <v>139</v>
      </c>
      <c r="BR1" s="9" t="s">
        <v>140</v>
      </c>
      <c r="BS1" s="9" t="s">
        <v>141</v>
      </c>
      <c r="BT1" s="9" t="s">
        <v>114</v>
      </c>
      <c r="BU1" s="9" t="s">
        <v>58</v>
      </c>
      <c r="BV1" s="9" t="s">
        <v>142</v>
      </c>
      <c r="BW1" s="9" t="s">
        <v>67</v>
      </c>
      <c r="BX1" s="9" t="s">
        <v>143</v>
      </c>
      <c r="BY1" s="9" t="s">
        <v>92</v>
      </c>
      <c r="BZ1" s="9" t="s">
        <v>144</v>
      </c>
      <c r="CA1" s="9" t="s">
        <v>145</v>
      </c>
      <c r="CB1" s="9" t="s">
        <v>146</v>
      </c>
      <c r="CC1" s="9" t="s">
        <v>147</v>
      </c>
      <c r="CD1" s="9" t="s">
        <v>148</v>
      </c>
      <c r="CE1" s="9" t="s">
        <v>149</v>
      </c>
      <c r="CF1" s="9" t="s">
        <v>150</v>
      </c>
      <c r="CG1" s="9" t="s">
        <v>112</v>
      </c>
      <c r="CH1" s="9" t="s">
        <v>151</v>
      </c>
      <c r="CI1" s="9" t="s">
        <v>152</v>
      </c>
      <c r="CJ1" s="9" t="s">
        <v>153</v>
      </c>
      <c r="CK1" s="9" t="s">
        <v>154</v>
      </c>
      <c r="CL1" s="9" t="s">
        <v>155</v>
      </c>
      <c r="CM1" s="9" t="s">
        <v>156</v>
      </c>
      <c r="CN1" s="9" t="s">
        <v>157</v>
      </c>
      <c r="CO1" s="9" t="s">
        <v>115</v>
      </c>
      <c r="CP1" s="9" t="s">
        <v>158</v>
      </c>
      <c r="CQ1" s="9" t="s">
        <v>159</v>
      </c>
      <c r="CR1" s="9" t="s">
        <v>160</v>
      </c>
      <c r="CS1" s="9" t="s">
        <v>161</v>
      </c>
      <c r="CT1" s="9" t="s">
        <v>162</v>
      </c>
      <c r="CU1" s="9" t="s">
        <v>113</v>
      </c>
      <c r="CV1" s="9" t="s">
        <v>90</v>
      </c>
      <c r="CW1" s="9" t="s">
        <v>91</v>
      </c>
      <c r="CX1" s="9" t="s">
        <v>163</v>
      </c>
      <c r="CY1" s="9" t="s">
        <v>164</v>
      </c>
      <c r="CZ1" s="9" t="s">
        <v>73</v>
      </c>
      <c r="DA1" s="9" t="s">
        <v>165</v>
      </c>
      <c r="DB1" s="9" t="s">
        <v>116</v>
      </c>
      <c r="DC1" s="9" t="s">
        <v>72</v>
      </c>
      <c r="DL1" s="9" t="s">
        <v>57</v>
      </c>
      <c r="DM1" s="9" t="s">
        <v>23</v>
      </c>
      <c r="DN1" s="9" t="s">
        <v>24</v>
      </c>
      <c r="DO1" s="9" t="s">
        <v>25</v>
      </c>
      <c r="DP1" s="9" t="s">
        <v>26</v>
      </c>
      <c r="DQ1" s="9" t="s">
        <v>182</v>
      </c>
      <c r="DR1" s="9" t="s">
        <v>183</v>
      </c>
      <c r="DS1" s="9" t="s">
        <v>184</v>
      </c>
      <c r="DT1" s="9" t="s">
        <v>185</v>
      </c>
      <c r="DU1" s="9" t="s">
        <v>186</v>
      </c>
      <c r="DV1" s="9" t="s">
        <v>187</v>
      </c>
      <c r="DW1" s="9" t="s">
        <v>188</v>
      </c>
      <c r="DX1" s="9" t="s">
        <v>189</v>
      </c>
      <c r="DY1" s="9" t="s">
        <v>190</v>
      </c>
      <c r="DZ1" s="9" t="s">
        <v>191</v>
      </c>
      <c r="EA1" s="9" t="s">
        <v>192</v>
      </c>
      <c r="EB1" s="9" t="s">
        <v>193</v>
      </c>
      <c r="EC1" s="9" t="s">
        <v>194</v>
      </c>
      <c r="EP1" s="9" t="s">
        <v>57</v>
      </c>
      <c r="EQ1" s="9" t="s">
        <v>23</v>
      </c>
      <c r="ER1" s="9" t="s">
        <v>24</v>
      </c>
      <c r="ES1" s="9" t="s">
        <v>25</v>
      </c>
      <c r="ET1" s="9" t="s">
        <v>26</v>
      </c>
      <c r="EU1" s="9" t="s">
        <v>211</v>
      </c>
      <c r="EV1" s="9" t="s">
        <v>212</v>
      </c>
      <c r="EW1" s="9" t="s">
        <v>213</v>
      </c>
      <c r="EX1" s="9" t="s">
        <v>214</v>
      </c>
      <c r="EY1" s="9" t="s">
        <v>183</v>
      </c>
      <c r="EZ1" s="9" t="s">
        <v>193</v>
      </c>
      <c r="FA1" s="9" t="s">
        <v>194</v>
      </c>
      <c r="FC1" t="s">
        <v>268</v>
      </c>
      <c r="FD1" t="s">
        <v>269</v>
      </c>
      <c r="FO1" s="9" t="s">
        <v>23</v>
      </c>
      <c r="FP1" s="9" t="s">
        <v>24</v>
      </c>
      <c r="FQ1" s="9" t="s">
        <v>25</v>
      </c>
      <c r="FR1" s="9" t="s">
        <v>26</v>
      </c>
    </row>
    <row r="2" spans="1:174">
      <c r="A2" t="s">
        <v>63</v>
      </c>
      <c r="C2" t="s">
        <v>109</v>
      </c>
      <c r="F2" t="s">
        <v>63</v>
      </c>
      <c r="G2" t="s">
        <v>63</v>
      </c>
      <c r="H2" t="s">
        <v>166</v>
      </c>
      <c r="I2" t="s">
        <v>166</v>
      </c>
      <c r="J2" t="s">
        <v>85</v>
      </c>
      <c r="K2" t="s">
        <v>167</v>
      </c>
      <c r="L2" t="s">
        <v>171</v>
      </c>
      <c r="M2" t="s">
        <v>88</v>
      </c>
      <c r="N2" t="s">
        <v>175</v>
      </c>
      <c r="O2" t="s">
        <v>179</v>
      </c>
      <c r="P2">
        <v>14</v>
      </c>
      <c r="R2">
        <v>16</v>
      </c>
      <c r="S2">
        <v>1.142857</v>
      </c>
      <c r="T2">
        <v>17</v>
      </c>
      <c r="U2">
        <v>1.214286</v>
      </c>
      <c r="V2">
        <v>33</v>
      </c>
      <c r="W2">
        <v>2.357143</v>
      </c>
      <c r="X2">
        <v>11</v>
      </c>
      <c r="Y2">
        <v>0.785714</v>
      </c>
      <c r="Z2">
        <v>5</v>
      </c>
      <c r="AA2">
        <v>0.357143</v>
      </c>
      <c r="AB2">
        <v>3</v>
      </c>
      <c r="AC2">
        <v>0.214286</v>
      </c>
      <c r="AD2">
        <v>4</v>
      </c>
      <c r="AE2">
        <v>0.285714</v>
      </c>
      <c r="AF2">
        <v>6</v>
      </c>
      <c r="AG2">
        <v>0.428571</v>
      </c>
      <c r="AH2">
        <v>1</v>
      </c>
      <c r="AI2">
        <v>0.07142900000000001</v>
      </c>
      <c r="AJ2">
        <v>10</v>
      </c>
      <c r="AK2">
        <v>0.714286</v>
      </c>
      <c r="AL2">
        <v>0</v>
      </c>
      <c r="AM2">
        <v>0</v>
      </c>
      <c r="AN2">
        <v>4</v>
      </c>
      <c r="AO2">
        <v>0.285714</v>
      </c>
      <c r="AP2">
        <v>16</v>
      </c>
      <c r="AQ2">
        <v>1.142857</v>
      </c>
      <c r="AR2">
        <v>1</v>
      </c>
      <c r="AS2">
        <v>0.391026</v>
      </c>
      <c r="AT2">
        <v>0.484848</v>
      </c>
      <c r="AU2">
        <v>14</v>
      </c>
      <c r="AV2">
        <v>117</v>
      </c>
      <c r="AW2">
        <v>117</v>
      </c>
      <c r="AX2">
        <v>8.357143000000001</v>
      </c>
      <c r="AY2">
        <v>8.357143000000001</v>
      </c>
      <c r="AZ2">
        <v>45.36</v>
      </c>
      <c r="BI2" t="s">
        <v>109</v>
      </c>
      <c r="BJ2" t="s">
        <v>109</v>
      </c>
      <c r="BK2" t="s">
        <v>180</v>
      </c>
      <c r="BL2" t="s">
        <v>180</v>
      </c>
      <c r="BM2" t="s">
        <v>85</v>
      </c>
      <c r="BN2" t="s">
        <v>181</v>
      </c>
      <c r="BO2" t="s">
        <v>180</v>
      </c>
      <c r="BP2" t="s">
        <v>89</v>
      </c>
      <c r="BS2">
        <v>3</v>
      </c>
      <c r="BT2">
        <v>2</v>
      </c>
      <c r="BU2">
        <v>0</v>
      </c>
      <c r="BV2">
        <v>0</v>
      </c>
      <c r="BW2">
        <v>2</v>
      </c>
      <c r="BX2">
        <v>0.666667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4</v>
      </c>
      <c r="CH2">
        <v>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5</v>
      </c>
      <c r="CP2">
        <v>2.5</v>
      </c>
      <c r="CQ2">
        <v>0</v>
      </c>
      <c r="CR2">
        <v>0</v>
      </c>
      <c r="CS2">
        <v>0</v>
      </c>
      <c r="CT2">
        <v>0</v>
      </c>
      <c r="CU2">
        <v>0.45</v>
      </c>
      <c r="CX2">
        <v>3</v>
      </c>
      <c r="CY2">
        <v>3</v>
      </c>
      <c r="CZ2">
        <v>3</v>
      </c>
      <c r="DA2">
        <v>1.5</v>
      </c>
      <c r="DB2">
        <v>1.5</v>
      </c>
      <c r="DC2">
        <v>100</v>
      </c>
      <c r="DL2" t="s">
        <v>64</v>
      </c>
      <c r="DM2">
        <v>2</v>
      </c>
      <c r="DN2" t="s">
        <v>195</v>
      </c>
      <c r="DO2" t="s">
        <v>51</v>
      </c>
      <c r="DP2" t="s">
        <v>19</v>
      </c>
      <c r="DQ2">
        <v>1</v>
      </c>
      <c r="DR2">
        <v>1</v>
      </c>
      <c r="DS2">
        <v>4</v>
      </c>
      <c r="DV2">
        <v>2</v>
      </c>
      <c r="DX2">
        <v>1</v>
      </c>
      <c r="EA2">
        <v>1</v>
      </c>
      <c r="EC2">
        <v>1.5</v>
      </c>
      <c r="EP2" t="s">
        <v>110</v>
      </c>
      <c r="EQ2">
        <v>2</v>
      </c>
      <c r="ER2" t="s">
        <v>195</v>
      </c>
      <c r="ES2" t="s">
        <v>51</v>
      </c>
      <c r="ET2" t="s">
        <v>19</v>
      </c>
      <c r="EU2" t="s">
        <v>88</v>
      </c>
      <c r="EV2">
        <v>9</v>
      </c>
      <c r="EW2">
        <v>11</v>
      </c>
      <c r="EY2">
        <v>1</v>
      </c>
      <c r="EZ2">
        <v>0.45</v>
      </c>
      <c r="FA2">
        <v>-3.9</v>
      </c>
      <c r="FC2" t="s">
        <v>270</v>
      </c>
      <c r="FD2" t="s">
        <v>88</v>
      </c>
      <c r="FO2">
        <v>1</v>
      </c>
      <c r="FP2" t="s">
        <v>29</v>
      </c>
      <c r="FQ2" t="s">
        <v>30</v>
      </c>
      <c r="FR2" t="s">
        <v>18</v>
      </c>
    </row>
    <row r="3" spans="1:174">
      <c r="A3" t="s">
        <v>69</v>
      </c>
      <c r="C3" t="s">
        <v>110</v>
      </c>
      <c r="F3" t="s">
        <v>69</v>
      </c>
      <c r="G3" t="s">
        <v>69</v>
      </c>
      <c r="H3" t="s">
        <v>166</v>
      </c>
      <c r="I3" t="s">
        <v>166</v>
      </c>
      <c r="J3" t="s">
        <v>85</v>
      </c>
      <c r="K3" t="s">
        <v>168</v>
      </c>
      <c r="L3" t="s">
        <v>172</v>
      </c>
      <c r="M3" t="s">
        <v>89</v>
      </c>
      <c r="P3">
        <v>16</v>
      </c>
      <c r="R3">
        <v>3</v>
      </c>
      <c r="S3">
        <v>0.1875</v>
      </c>
      <c r="T3">
        <v>14</v>
      </c>
      <c r="U3">
        <v>0.875</v>
      </c>
      <c r="V3">
        <v>20</v>
      </c>
      <c r="W3">
        <v>1.25</v>
      </c>
      <c r="X3">
        <v>7</v>
      </c>
      <c r="Y3">
        <v>0.4375</v>
      </c>
      <c r="Z3">
        <v>4</v>
      </c>
      <c r="AA3">
        <v>0.25</v>
      </c>
      <c r="AB3">
        <v>1</v>
      </c>
      <c r="AC3">
        <v>0.0625</v>
      </c>
      <c r="AD3">
        <v>4</v>
      </c>
      <c r="AE3">
        <v>0.25</v>
      </c>
      <c r="AF3">
        <v>15</v>
      </c>
      <c r="AG3">
        <v>0.9375</v>
      </c>
      <c r="AH3">
        <v>3</v>
      </c>
      <c r="AI3">
        <v>0.1875</v>
      </c>
      <c r="AJ3">
        <v>11</v>
      </c>
      <c r="AK3">
        <v>0.6875</v>
      </c>
      <c r="AL3">
        <v>0</v>
      </c>
      <c r="AM3">
        <v>0</v>
      </c>
      <c r="AN3">
        <v>5</v>
      </c>
      <c r="AO3">
        <v>0.3125</v>
      </c>
      <c r="AP3">
        <v>7</v>
      </c>
      <c r="AQ3">
        <v>0.4375</v>
      </c>
      <c r="AR3">
        <v>0</v>
      </c>
      <c r="AS3">
        <v>0.133333</v>
      </c>
      <c r="AT3">
        <v>0.15</v>
      </c>
      <c r="AU3">
        <v>16</v>
      </c>
      <c r="AV3">
        <v>5.5</v>
      </c>
      <c r="AW3">
        <v>5.5</v>
      </c>
      <c r="AX3">
        <v>0.34375</v>
      </c>
      <c r="AY3">
        <v>0.34375</v>
      </c>
      <c r="AZ3">
        <v>5.54</v>
      </c>
      <c r="BI3" t="s">
        <v>110</v>
      </c>
      <c r="BJ3" t="s">
        <v>110</v>
      </c>
      <c r="BK3" t="s">
        <v>180</v>
      </c>
      <c r="BL3" t="s">
        <v>180</v>
      </c>
      <c r="BM3" t="s">
        <v>85</v>
      </c>
      <c r="BN3" t="s">
        <v>181</v>
      </c>
      <c r="BO3" t="s">
        <v>180</v>
      </c>
      <c r="BP3" t="s">
        <v>89</v>
      </c>
      <c r="BS3">
        <v>14</v>
      </c>
      <c r="BT3">
        <v>9</v>
      </c>
      <c r="BU3">
        <v>0</v>
      </c>
      <c r="BV3">
        <v>0</v>
      </c>
      <c r="BW3">
        <v>6</v>
      </c>
      <c r="BX3">
        <v>0.428571</v>
      </c>
      <c r="BY3">
        <v>0</v>
      </c>
      <c r="BZ3">
        <v>0</v>
      </c>
      <c r="CA3">
        <v>2</v>
      </c>
      <c r="CB3">
        <v>0.142857</v>
      </c>
      <c r="CC3">
        <v>0</v>
      </c>
      <c r="CD3">
        <v>0</v>
      </c>
      <c r="CE3">
        <v>0</v>
      </c>
      <c r="CF3">
        <v>0</v>
      </c>
      <c r="CG3">
        <v>54</v>
      </c>
      <c r="CH3">
        <v>6</v>
      </c>
      <c r="CI3">
        <v>1</v>
      </c>
      <c r="CJ3">
        <v>0.07142900000000001</v>
      </c>
      <c r="CK3">
        <v>0</v>
      </c>
      <c r="CL3">
        <v>0</v>
      </c>
      <c r="CM3">
        <v>1</v>
      </c>
      <c r="CN3">
        <v>0.07142900000000001</v>
      </c>
      <c r="CO3">
        <v>73</v>
      </c>
      <c r="CP3">
        <v>8.111110999999999</v>
      </c>
      <c r="CQ3">
        <v>0</v>
      </c>
      <c r="CR3">
        <v>0</v>
      </c>
      <c r="CS3">
        <v>4.45</v>
      </c>
      <c r="CT3">
        <v>0.494444</v>
      </c>
      <c r="CU3">
        <v>0.372448</v>
      </c>
      <c r="CX3">
        <v>14</v>
      </c>
      <c r="CY3">
        <v>-47.9</v>
      </c>
      <c r="CZ3">
        <v>-47.9</v>
      </c>
      <c r="DA3">
        <v>-5.322222</v>
      </c>
      <c r="DB3">
        <v>-5.322222</v>
      </c>
      <c r="DC3">
        <v>0</v>
      </c>
      <c r="DL3" t="s">
        <v>61</v>
      </c>
      <c r="DM3">
        <v>2</v>
      </c>
      <c r="DN3" t="s">
        <v>195</v>
      </c>
      <c r="DO3" t="s">
        <v>51</v>
      </c>
      <c r="DP3" t="s">
        <v>19</v>
      </c>
      <c r="DQ3">
        <v>4</v>
      </c>
      <c r="DR3">
        <v>0</v>
      </c>
      <c r="DS3">
        <v>6</v>
      </c>
      <c r="DU3">
        <v>1</v>
      </c>
      <c r="DV3">
        <v>2</v>
      </c>
      <c r="DW3">
        <v>2</v>
      </c>
      <c r="DY3">
        <v>1</v>
      </c>
      <c r="EA3">
        <v>2</v>
      </c>
      <c r="EC3">
        <v>25</v>
      </c>
      <c r="EP3" t="s">
        <v>111</v>
      </c>
      <c r="EQ3">
        <v>2</v>
      </c>
      <c r="ER3" t="s">
        <v>195</v>
      </c>
      <c r="ES3" t="s">
        <v>51</v>
      </c>
      <c r="ET3" t="s">
        <v>19</v>
      </c>
      <c r="EU3" t="s">
        <v>89</v>
      </c>
      <c r="EV3">
        <v>0</v>
      </c>
      <c r="EW3">
        <v>0</v>
      </c>
      <c r="EZ3">
        <v>0</v>
      </c>
      <c r="FA3">
        <v>0</v>
      </c>
      <c r="FC3" t="s">
        <v>271</v>
      </c>
      <c r="FD3" t="s">
        <v>89</v>
      </c>
      <c r="FO3">
        <v>2</v>
      </c>
      <c r="FP3" t="s">
        <v>195</v>
      </c>
      <c r="FQ3" t="s">
        <v>51</v>
      </c>
      <c r="FR3" t="s">
        <v>19</v>
      </c>
    </row>
    <row r="4" spans="1:174">
      <c r="A4" t="s">
        <v>60</v>
      </c>
      <c r="C4" t="s">
        <v>111</v>
      </c>
      <c r="F4" t="s">
        <v>60</v>
      </c>
      <c r="G4" t="s">
        <v>60</v>
      </c>
      <c r="H4" t="s">
        <v>166</v>
      </c>
      <c r="I4" t="s">
        <v>166</v>
      </c>
      <c r="J4" t="s">
        <v>85</v>
      </c>
      <c r="K4" t="s">
        <v>167</v>
      </c>
      <c r="L4" t="s">
        <v>171</v>
      </c>
      <c r="M4" t="s">
        <v>88</v>
      </c>
      <c r="N4" t="s">
        <v>176</v>
      </c>
      <c r="O4" t="s">
        <v>138</v>
      </c>
      <c r="P4">
        <v>16</v>
      </c>
      <c r="R4">
        <v>36</v>
      </c>
      <c r="S4">
        <v>2.25</v>
      </c>
      <c r="T4">
        <v>19</v>
      </c>
      <c r="U4">
        <v>1.1875</v>
      </c>
      <c r="V4">
        <v>85</v>
      </c>
      <c r="W4">
        <v>5.3125</v>
      </c>
      <c r="X4">
        <v>18</v>
      </c>
      <c r="Y4">
        <v>1.125</v>
      </c>
      <c r="Z4">
        <v>16</v>
      </c>
      <c r="AA4">
        <v>1</v>
      </c>
      <c r="AB4">
        <v>3</v>
      </c>
      <c r="AC4">
        <v>0.1875</v>
      </c>
      <c r="AD4">
        <v>9</v>
      </c>
      <c r="AE4">
        <v>0.5625</v>
      </c>
      <c r="AF4">
        <v>15</v>
      </c>
      <c r="AG4">
        <v>0.9375</v>
      </c>
      <c r="AH4">
        <v>0</v>
      </c>
      <c r="AI4">
        <v>0</v>
      </c>
      <c r="AJ4">
        <v>10</v>
      </c>
      <c r="AK4">
        <v>0.625</v>
      </c>
      <c r="AL4">
        <v>0</v>
      </c>
      <c r="AM4">
        <v>0</v>
      </c>
      <c r="AN4">
        <v>11</v>
      </c>
      <c r="AO4">
        <v>0.6875</v>
      </c>
      <c r="AP4">
        <v>12</v>
      </c>
      <c r="AQ4">
        <v>0.75</v>
      </c>
      <c r="AR4">
        <v>0</v>
      </c>
      <c r="AS4">
        <v>0.401337</v>
      </c>
      <c r="AT4">
        <v>0.423529</v>
      </c>
      <c r="AU4">
        <v>16</v>
      </c>
      <c r="AV4">
        <v>270</v>
      </c>
      <c r="AW4">
        <v>270</v>
      </c>
      <c r="AX4">
        <v>16.875</v>
      </c>
      <c r="AY4">
        <v>16.875</v>
      </c>
      <c r="AZ4">
        <v>100</v>
      </c>
      <c r="BI4" t="s">
        <v>111</v>
      </c>
      <c r="BJ4" t="s">
        <v>111</v>
      </c>
      <c r="BK4" t="s">
        <v>180</v>
      </c>
      <c r="BL4" t="s">
        <v>180</v>
      </c>
      <c r="BM4" t="s">
        <v>86</v>
      </c>
      <c r="BN4" t="s">
        <v>181</v>
      </c>
      <c r="BO4" t="s">
        <v>180</v>
      </c>
      <c r="BP4" t="s">
        <v>89</v>
      </c>
      <c r="BS4">
        <v>16</v>
      </c>
      <c r="BT4">
        <v>12</v>
      </c>
      <c r="BU4">
        <v>0</v>
      </c>
      <c r="BV4">
        <v>0</v>
      </c>
      <c r="BW4">
        <v>4</v>
      </c>
      <c r="BX4">
        <v>0.25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82</v>
      </c>
      <c r="CH4">
        <v>6.833333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86</v>
      </c>
      <c r="CP4">
        <v>7.166667</v>
      </c>
      <c r="CQ4">
        <v>0</v>
      </c>
      <c r="CR4">
        <v>0</v>
      </c>
      <c r="CS4">
        <v>3</v>
      </c>
      <c r="CT4">
        <v>0.25</v>
      </c>
      <c r="CU4">
        <v>0.43914</v>
      </c>
      <c r="CX4">
        <v>16</v>
      </c>
      <c r="CY4">
        <v>-6</v>
      </c>
      <c r="CZ4">
        <v>-6</v>
      </c>
      <c r="DA4">
        <v>-0.5</v>
      </c>
      <c r="DB4">
        <v>-0.5</v>
      </c>
      <c r="DC4">
        <v>82.31999999999999</v>
      </c>
      <c r="DL4" t="s">
        <v>68</v>
      </c>
      <c r="DM4">
        <v>2</v>
      </c>
      <c r="DN4" t="s">
        <v>195</v>
      </c>
      <c r="DO4" t="s">
        <v>51</v>
      </c>
      <c r="DP4" t="s">
        <v>19</v>
      </c>
      <c r="DR4">
        <v>3</v>
      </c>
      <c r="DS4">
        <v>1</v>
      </c>
      <c r="DU4">
        <v>1</v>
      </c>
      <c r="EA4">
        <v>1</v>
      </c>
      <c r="EC4">
        <v>9.5</v>
      </c>
      <c r="EP4" t="s">
        <v>110</v>
      </c>
      <c r="EQ4">
        <v>3</v>
      </c>
      <c r="ER4" t="s">
        <v>196</v>
      </c>
      <c r="ES4" t="s">
        <v>32</v>
      </c>
      <c r="ET4" t="s">
        <v>18</v>
      </c>
      <c r="EU4" t="s">
        <v>88</v>
      </c>
      <c r="EV4">
        <v>8</v>
      </c>
      <c r="EW4">
        <v>10</v>
      </c>
      <c r="EX4">
        <v>0.444444</v>
      </c>
      <c r="EY4">
        <v>1</v>
      </c>
      <c r="FA4">
        <v>-3</v>
      </c>
      <c r="FC4" t="s">
        <v>272</v>
      </c>
      <c r="FD4" t="s">
        <v>88</v>
      </c>
      <c r="FO4">
        <v>3</v>
      </c>
      <c r="FP4" t="s">
        <v>196</v>
      </c>
      <c r="FQ4" t="s">
        <v>32</v>
      </c>
      <c r="FR4" t="s">
        <v>18</v>
      </c>
    </row>
    <row r="5" spans="1:174">
      <c r="A5" t="s">
        <v>127</v>
      </c>
      <c r="F5" t="s">
        <v>127</v>
      </c>
      <c r="G5" t="s">
        <v>127</v>
      </c>
      <c r="H5" t="s">
        <v>166</v>
      </c>
      <c r="I5" t="s">
        <v>166</v>
      </c>
      <c r="J5" t="s">
        <v>85</v>
      </c>
      <c r="K5" t="s">
        <v>169</v>
      </c>
      <c r="L5" t="s">
        <v>173</v>
      </c>
      <c r="M5" t="s">
        <v>89</v>
      </c>
      <c r="P5">
        <v>1</v>
      </c>
      <c r="R5">
        <v>1</v>
      </c>
      <c r="S5">
        <v>1</v>
      </c>
      <c r="T5">
        <v>0</v>
      </c>
      <c r="U5">
        <v>0</v>
      </c>
      <c r="V5">
        <v>3</v>
      </c>
      <c r="W5">
        <v>3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S5">
        <v>0.333333</v>
      </c>
      <c r="AT5">
        <v>0.333333</v>
      </c>
      <c r="AU5">
        <v>1</v>
      </c>
      <c r="AV5">
        <v>9.5</v>
      </c>
      <c r="AW5">
        <v>9.5</v>
      </c>
      <c r="AX5">
        <v>9.5</v>
      </c>
      <c r="AY5">
        <v>9.5</v>
      </c>
      <c r="AZ5">
        <v>6.96</v>
      </c>
      <c r="DL5" t="s">
        <v>59</v>
      </c>
      <c r="DM5">
        <v>2</v>
      </c>
      <c r="DN5" t="s">
        <v>195</v>
      </c>
      <c r="DO5" t="s">
        <v>51</v>
      </c>
      <c r="DP5" t="s">
        <v>19</v>
      </c>
      <c r="DQ5">
        <v>4</v>
      </c>
      <c r="DR5">
        <v>1</v>
      </c>
      <c r="DS5">
        <v>9</v>
      </c>
      <c r="DU5">
        <v>1</v>
      </c>
      <c r="DV5">
        <v>2</v>
      </c>
      <c r="DX5">
        <v>2</v>
      </c>
      <c r="EC5">
        <v>20.5</v>
      </c>
      <c r="EP5" t="s">
        <v>111</v>
      </c>
      <c r="EQ5">
        <v>3</v>
      </c>
      <c r="ER5" t="s">
        <v>196</v>
      </c>
      <c r="ES5" t="s">
        <v>32</v>
      </c>
      <c r="ET5" t="s">
        <v>18</v>
      </c>
      <c r="EU5" t="s">
        <v>89</v>
      </c>
      <c r="EX5">
        <v>0</v>
      </c>
      <c r="FA5">
        <v>0</v>
      </c>
      <c r="FC5" t="s">
        <v>273</v>
      </c>
      <c r="FD5" t="s">
        <v>89</v>
      </c>
      <c r="FO5">
        <v>4</v>
      </c>
      <c r="FP5" t="s">
        <v>197</v>
      </c>
      <c r="FQ5" t="s">
        <v>49</v>
      </c>
      <c r="FR5" t="s">
        <v>19</v>
      </c>
    </row>
    <row r="6" spans="1:174">
      <c r="A6" t="s">
        <v>61</v>
      </c>
      <c r="F6" t="s">
        <v>61</v>
      </c>
      <c r="G6" t="s">
        <v>61</v>
      </c>
      <c r="H6" t="s">
        <v>166</v>
      </c>
      <c r="I6" t="s">
        <v>166</v>
      </c>
      <c r="J6" t="s">
        <v>85</v>
      </c>
      <c r="K6" t="s">
        <v>169</v>
      </c>
      <c r="L6" t="s">
        <v>173</v>
      </c>
      <c r="M6" t="s">
        <v>88</v>
      </c>
      <c r="N6" t="s">
        <v>177</v>
      </c>
      <c r="O6" t="s">
        <v>138</v>
      </c>
      <c r="P6">
        <v>15</v>
      </c>
      <c r="R6">
        <v>22</v>
      </c>
      <c r="S6">
        <v>1.466667</v>
      </c>
      <c r="T6">
        <v>11</v>
      </c>
      <c r="U6">
        <v>0.733333</v>
      </c>
      <c r="V6">
        <v>51</v>
      </c>
      <c r="W6">
        <v>3.4</v>
      </c>
      <c r="X6">
        <v>9</v>
      </c>
      <c r="Y6">
        <v>0.6</v>
      </c>
      <c r="Z6">
        <v>33</v>
      </c>
      <c r="AA6">
        <v>2.2</v>
      </c>
      <c r="AB6">
        <v>8</v>
      </c>
      <c r="AC6">
        <v>0.5333329999999999</v>
      </c>
      <c r="AD6">
        <v>2</v>
      </c>
      <c r="AE6">
        <v>0.133333</v>
      </c>
      <c r="AF6">
        <v>12</v>
      </c>
      <c r="AG6">
        <v>0.8</v>
      </c>
      <c r="AH6">
        <v>0</v>
      </c>
      <c r="AI6">
        <v>0</v>
      </c>
      <c r="AJ6">
        <v>5</v>
      </c>
      <c r="AK6">
        <v>0.333333</v>
      </c>
      <c r="AL6">
        <v>0</v>
      </c>
      <c r="AM6">
        <v>0</v>
      </c>
      <c r="AN6">
        <v>15</v>
      </c>
      <c r="AO6">
        <v>1</v>
      </c>
      <c r="AP6">
        <v>15</v>
      </c>
      <c r="AQ6">
        <v>1</v>
      </c>
      <c r="AR6">
        <v>0.666667</v>
      </c>
      <c r="AS6">
        <v>0.382143</v>
      </c>
      <c r="AT6">
        <v>0.431373</v>
      </c>
      <c r="AU6">
        <v>15</v>
      </c>
      <c r="AV6">
        <v>195</v>
      </c>
      <c r="AW6">
        <v>195</v>
      </c>
      <c r="AX6">
        <v>13</v>
      </c>
      <c r="AY6">
        <v>13</v>
      </c>
      <c r="AZ6">
        <v>73.20999999999999</v>
      </c>
      <c r="DL6" t="s">
        <v>71</v>
      </c>
      <c r="DM6">
        <v>2</v>
      </c>
      <c r="DN6" t="s">
        <v>195</v>
      </c>
      <c r="DO6" t="s">
        <v>51</v>
      </c>
      <c r="DP6" t="s">
        <v>19</v>
      </c>
      <c r="EC6">
        <v>0</v>
      </c>
      <c r="EP6" t="s">
        <v>110</v>
      </c>
      <c r="EQ6">
        <v>4</v>
      </c>
      <c r="ER6" t="s">
        <v>197</v>
      </c>
      <c r="ES6" t="s">
        <v>49</v>
      </c>
      <c r="ET6" t="s">
        <v>19</v>
      </c>
      <c r="EU6" t="s">
        <v>88</v>
      </c>
      <c r="EV6">
        <v>6</v>
      </c>
      <c r="EW6">
        <v>10</v>
      </c>
      <c r="EX6">
        <v>0.375</v>
      </c>
      <c r="EY6">
        <v>1</v>
      </c>
      <c r="FA6">
        <v>-7</v>
      </c>
      <c r="FC6" t="s">
        <v>274</v>
      </c>
      <c r="FD6" t="s">
        <v>88</v>
      </c>
      <c r="FO6">
        <v>5</v>
      </c>
      <c r="FP6" t="s">
        <v>198</v>
      </c>
      <c r="FQ6" t="s">
        <v>47</v>
      </c>
      <c r="FR6" t="s">
        <v>18</v>
      </c>
    </row>
    <row r="7" spans="1:174">
      <c r="A7" t="s">
        <v>68</v>
      </c>
      <c r="F7" t="s">
        <v>68</v>
      </c>
      <c r="G7" t="s">
        <v>68</v>
      </c>
      <c r="H7" t="s">
        <v>166</v>
      </c>
      <c r="I7" t="s">
        <v>166</v>
      </c>
      <c r="J7" t="s">
        <v>85</v>
      </c>
      <c r="K7" t="s">
        <v>170</v>
      </c>
      <c r="L7" t="s">
        <v>174</v>
      </c>
      <c r="M7" t="s">
        <v>89</v>
      </c>
      <c r="P7">
        <v>16</v>
      </c>
      <c r="R7">
        <v>4</v>
      </c>
      <c r="S7">
        <v>0.25</v>
      </c>
      <c r="T7">
        <v>20</v>
      </c>
      <c r="U7">
        <v>1.25</v>
      </c>
      <c r="V7">
        <v>20</v>
      </c>
      <c r="W7">
        <v>1.25</v>
      </c>
      <c r="X7">
        <v>8</v>
      </c>
      <c r="Y7">
        <v>0.5</v>
      </c>
      <c r="Z7">
        <v>7</v>
      </c>
      <c r="AA7">
        <v>0.4375</v>
      </c>
      <c r="AB7">
        <v>4</v>
      </c>
      <c r="AC7">
        <v>0.25</v>
      </c>
      <c r="AD7">
        <v>1</v>
      </c>
      <c r="AE7">
        <v>0.0625</v>
      </c>
      <c r="AF7">
        <v>11</v>
      </c>
      <c r="AG7">
        <v>0.6875</v>
      </c>
      <c r="AH7">
        <v>3</v>
      </c>
      <c r="AI7">
        <v>0.1875</v>
      </c>
      <c r="AJ7">
        <v>11</v>
      </c>
      <c r="AK7">
        <v>0.6875</v>
      </c>
      <c r="AL7">
        <v>0</v>
      </c>
      <c r="AM7">
        <v>0</v>
      </c>
      <c r="AN7">
        <v>4</v>
      </c>
      <c r="AO7">
        <v>0.25</v>
      </c>
      <c r="AP7">
        <v>7</v>
      </c>
      <c r="AQ7">
        <v>0.4375</v>
      </c>
      <c r="AR7">
        <v>0</v>
      </c>
      <c r="AS7">
        <v>0.094444</v>
      </c>
      <c r="AT7">
        <v>0.2</v>
      </c>
      <c r="AU7">
        <v>16</v>
      </c>
      <c r="AV7">
        <v>56</v>
      </c>
      <c r="AW7">
        <v>56</v>
      </c>
      <c r="AX7">
        <v>3.5</v>
      </c>
      <c r="AY7">
        <v>3.5</v>
      </c>
      <c r="AZ7">
        <v>23.57</v>
      </c>
      <c r="DL7" t="s">
        <v>63</v>
      </c>
      <c r="DM7">
        <v>2</v>
      </c>
      <c r="DN7" t="s">
        <v>195</v>
      </c>
      <c r="DO7" t="s">
        <v>51</v>
      </c>
      <c r="DP7" t="s">
        <v>19</v>
      </c>
      <c r="DQ7">
        <v>2</v>
      </c>
      <c r="DR7">
        <v>1</v>
      </c>
      <c r="DS7">
        <v>2</v>
      </c>
      <c r="DU7">
        <v>3</v>
      </c>
      <c r="DV7">
        <v>3</v>
      </c>
      <c r="DX7">
        <v>1</v>
      </c>
      <c r="EC7">
        <v>11.5</v>
      </c>
      <c r="EP7" t="s">
        <v>111</v>
      </c>
      <c r="EQ7">
        <v>4</v>
      </c>
      <c r="ER7" t="s">
        <v>197</v>
      </c>
      <c r="ES7" t="s">
        <v>49</v>
      </c>
      <c r="ET7" t="s">
        <v>19</v>
      </c>
      <c r="EU7" t="s">
        <v>89</v>
      </c>
      <c r="EX7">
        <v>0</v>
      </c>
      <c r="FA7">
        <v>0</v>
      </c>
      <c r="FC7" t="s">
        <v>275</v>
      </c>
      <c r="FD7" t="s">
        <v>89</v>
      </c>
      <c r="FO7">
        <v>6</v>
      </c>
      <c r="FP7" t="s">
        <v>199</v>
      </c>
      <c r="FQ7" t="s">
        <v>44</v>
      </c>
      <c r="FR7" t="s">
        <v>19</v>
      </c>
    </row>
    <row r="8" spans="1:174">
      <c r="A8" t="s">
        <v>65</v>
      </c>
      <c r="F8" t="s">
        <v>65</v>
      </c>
      <c r="G8" t="s">
        <v>65</v>
      </c>
      <c r="H8" t="s">
        <v>166</v>
      </c>
      <c r="I8" t="s">
        <v>166</v>
      </c>
      <c r="J8" t="s">
        <v>86</v>
      </c>
      <c r="K8" t="s">
        <v>170</v>
      </c>
      <c r="L8" t="s">
        <v>174</v>
      </c>
      <c r="M8" t="s">
        <v>89</v>
      </c>
      <c r="P8">
        <v>15</v>
      </c>
      <c r="R8">
        <v>15</v>
      </c>
      <c r="S8">
        <v>1</v>
      </c>
      <c r="T8">
        <v>7</v>
      </c>
      <c r="U8">
        <v>0.466667</v>
      </c>
      <c r="V8">
        <v>40</v>
      </c>
      <c r="W8">
        <v>2.666667</v>
      </c>
      <c r="X8">
        <v>17</v>
      </c>
      <c r="Y8">
        <v>1.133333</v>
      </c>
      <c r="Z8">
        <v>8</v>
      </c>
      <c r="AA8">
        <v>0.5333329999999999</v>
      </c>
      <c r="AB8">
        <v>4</v>
      </c>
      <c r="AC8">
        <v>0.266667</v>
      </c>
      <c r="AD8">
        <v>3</v>
      </c>
      <c r="AE8">
        <v>0.2</v>
      </c>
      <c r="AF8">
        <v>9</v>
      </c>
      <c r="AG8">
        <v>0.6</v>
      </c>
      <c r="AH8">
        <v>0</v>
      </c>
      <c r="AI8">
        <v>0</v>
      </c>
      <c r="AJ8">
        <v>13</v>
      </c>
      <c r="AK8">
        <v>0.866667</v>
      </c>
      <c r="AL8">
        <v>0</v>
      </c>
      <c r="AM8">
        <v>0</v>
      </c>
      <c r="AN8">
        <v>7</v>
      </c>
      <c r="AO8">
        <v>0.466667</v>
      </c>
      <c r="AP8">
        <v>3</v>
      </c>
      <c r="AQ8">
        <v>0.2</v>
      </c>
      <c r="AR8">
        <v>1</v>
      </c>
      <c r="AS8">
        <v>0.373299</v>
      </c>
      <c r="AT8">
        <v>0.375</v>
      </c>
      <c r="AU8">
        <v>15</v>
      </c>
      <c r="AV8">
        <v>116.5</v>
      </c>
      <c r="AW8">
        <v>116.5</v>
      </c>
      <c r="AX8">
        <v>7.766667</v>
      </c>
      <c r="AY8">
        <v>7.766667</v>
      </c>
      <c r="AZ8">
        <v>45.18</v>
      </c>
      <c r="DL8" t="s">
        <v>60</v>
      </c>
      <c r="DM8">
        <v>2</v>
      </c>
      <c r="DN8" t="s">
        <v>195</v>
      </c>
      <c r="DO8" t="s">
        <v>51</v>
      </c>
      <c r="DP8" t="s">
        <v>19</v>
      </c>
      <c r="DR8">
        <v>1</v>
      </c>
      <c r="DW8">
        <v>1</v>
      </c>
      <c r="DX8">
        <v>3</v>
      </c>
      <c r="EC8">
        <v>-2</v>
      </c>
      <c r="EP8" t="s">
        <v>110</v>
      </c>
      <c r="EQ8">
        <v>5</v>
      </c>
      <c r="ER8" t="s">
        <v>198</v>
      </c>
      <c r="ES8" t="s">
        <v>47</v>
      </c>
      <c r="ET8" t="s">
        <v>18</v>
      </c>
      <c r="EU8" t="s">
        <v>88</v>
      </c>
      <c r="EV8">
        <v>5</v>
      </c>
      <c r="EW8">
        <v>10</v>
      </c>
      <c r="EX8">
        <v>0.333333</v>
      </c>
      <c r="EZ8">
        <v>2</v>
      </c>
      <c r="FA8">
        <v>-19</v>
      </c>
      <c r="FC8" t="s">
        <v>276</v>
      </c>
      <c r="FD8" t="s">
        <v>88</v>
      </c>
      <c r="FO8">
        <v>7</v>
      </c>
      <c r="FP8" t="s">
        <v>200</v>
      </c>
      <c r="FQ8" t="s">
        <v>45</v>
      </c>
      <c r="FR8" t="s">
        <v>18</v>
      </c>
    </row>
    <row r="9" spans="1:174">
      <c r="A9" t="s">
        <v>64</v>
      </c>
      <c r="F9" t="s">
        <v>64</v>
      </c>
      <c r="G9" t="s">
        <v>64</v>
      </c>
      <c r="H9" t="s">
        <v>166</v>
      </c>
      <c r="I9" t="s">
        <v>166</v>
      </c>
      <c r="J9" t="s">
        <v>85</v>
      </c>
      <c r="K9" t="s">
        <v>168</v>
      </c>
      <c r="L9" t="s">
        <v>172</v>
      </c>
      <c r="M9" t="s">
        <v>88</v>
      </c>
      <c r="N9" t="s">
        <v>178</v>
      </c>
      <c r="O9" t="s">
        <v>138</v>
      </c>
      <c r="P9">
        <v>15</v>
      </c>
      <c r="R9">
        <v>16</v>
      </c>
      <c r="S9">
        <v>1.066667</v>
      </c>
      <c r="T9">
        <v>7</v>
      </c>
      <c r="U9">
        <v>0.466667</v>
      </c>
      <c r="V9">
        <v>46</v>
      </c>
      <c r="W9">
        <v>3.066667</v>
      </c>
      <c r="X9">
        <v>14</v>
      </c>
      <c r="Y9">
        <v>0.933333</v>
      </c>
      <c r="Z9">
        <v>22</v>
      </c>
      <c r="AA9">
        <v>1.466667</v>
      </c>
      <c r="AB9">
        <v>7</v>
      </c>
      <c r="AC9">
        <v>0.466667</v>
      </c>
      <c r="AD9">
        <v>6</v>
      </c>
      <c r="AE9">
        <v>0.4</v>
      </c>
      <c r="AF9">
        <v>25</v>
      </c>
      <c r="AG9">
        <v>1.666667</v>
      </c>
      <c r="AH9">
        <v>0</v>
      </c>
      <c r="AI9">
        <v>0</v>
      </c>
      <c r="AJ9">
        <v>13</v>
      </c>
      <c r="AK9">
        <v>0.866667</v>
      </c>
      <c r="AL9">
        <v>0</v>
      </c>
      <c r="AM9">
        <v>0</v>
      </c>
      <c r="AN9">
        <v>8</v>
      </c>
      <c r="AO9">
        <v>0.5333329999999999</v>
      </c>
      <c r="AP9">
        <v>9</v>
      </c>
      <c r="AQ9">
        <v>0.6</v>
      </c>
      <c r="AR9">
        <v>0.25</v>
      </c>
      <c r="AS9">
        <v>0.351361</v>
      </c>
      <c r="AT9">
        <v>0.347826</v>
      </c>
      <c r="AU9">
        <v>15</v>
      </c>
      <c r="AV9">
        <v>111.5</v>
      </c>
      <c r="AW9">
        <v>111.5</v>
      </c>
      <c r="AX9">
        <v>7.433333</v>
      </c>
      <c r="AY9">
        <v>7.433333</v>
      </c>
      <c r="AZ9">
        <v>43.39</v>
      </c>
      <c r="DL9" t="s">
        <v>62</v>
      </c>
      <c r="DM9">
        <v>2</v>
      </c>
      <c r="DN9" t="s">
        <v>195</v>
      </c>
      <c r="DO9" t="s">
        <v>51</v>
      </c>
      <c r="DP9" t="s">
        <v>19</v>
      </c>
      <c r="DQ9">
        <v>2</v>
      </c>
      <c r="DR9">
        <v>1</v>
      </c>
      <c r="DS9">
        <v>3</v>
      </c>
      <c r="DV9">
        <v>1</v>
      </c>
      <c r="DW9">
        <v>3</v>
      </c>
      <c r="DY9">
        <v>3</v>
      </c>
      <c r="EC9">
        <v>29</v>
      </c>
      <c r="EP9" t="s">
        <v>111</v>
      </c>
      <c r="EQ9">
        <v>5</v>
      </c>
      <c r="ER9" t="s">
        <v>198</v>
      </c>
      <c r="ES9" t="s">
        <v>47</v>
      </c>
      <c r="ET9" t="s">
        <v>18</v>
      </c>
      <c r="EU9" t="s">
        <v>88</v>
      </c>
      <c r="EV9">
        <v>4</v>
      </c>
      <c r="EW9">
        <v>3</v>
      </c>
      <c r="EX9">
        <v>0.571429</v>
      </c>
      <c r="FA9">
        <v>3</v>
      </c>
      <c r="FC9" t="s">
        <v>277</v>
      </c>
      <c r="FD9" t="s">
        <v>88</v>
      </c>
      <c r="FO9">
        <v>8</v>
      </c>
      <c r="FP9" t="s">
        <v>201</v>
      </c>
      <c r="FQ9" t="s">
        <v>50</v>
      </c>
      <c r="FR9" t="s">
        <v>19</v>
      </c>
    </row>
    <row r="10" spans="1:174">
      <c r="A10" t="s">
        <v>128</v>
      </c>
      <c r="F10" t="s">
        <v>128</v>
      </c>
      <c r="G10" t="s">
        <v>128</v>
      </c>
      <c r="H10" t="s">
        <v>166</v>
      </c>
      <c r="I10" t="s">
        <v>166</v>
      </c>
      <c r="J10" t="s">
        <v>85</v>
      </c>
      <c r="K10" t="s">
        <v>167</v>
      </c>
      <c r="L10" t="s">
        <v>171</v>
      </c>
      <c r="M10" t="s">
        <v>89</v>
      </c>
      <c r="P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S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3.57</v>
      </c>
      <c r="DL10" t="s">
        <v>69</v>
      </c>
      <c r="DM10">
        <v>2</v>
      </c>
      <c r="DN10" t="s">
        <v>195</v>
      </c>
      <c r="DO10" t="s">
        <v>51</v>
      </c>
      <c r="DP10" t="s">
        <v>19</v>
      </c>
      <c r="DR10">
        <v>1</v>
      </c>
      <c r="DV10">
        <v>1</v>
      </c>
      <c r="DY10">
        <v>1</v>
      </c>
      <c r="EC10">
        <v>4</v>
      </c>
      <c r="EP10" t="s">
        <v>110</v>
      </c>
      <c r="EQ10">
        <v>6</v>
      </c>
      <c r="ER10" t="s">
        <v>199</v>
      </c>
      <c r="ES10" t="s">
        <v>44</v>
      </c>
      <c r="ET10" t="s">
        <v>19</v>
      </c>
      <c r="EU10" t="s">
        <v>88</v>
      </c>
      <c r="EV10">
        <v>5</v>
      </c>
      <c r="EW10">
        <v>8</v>
      </c>
      <c r="EX10">
        <v>0.384615</v>
      </c>
      <c r="EZ10">
        <v>1</v>
      </c>
      <c r="FA10">
        <v>-9</v>
      </c>
      <c r="FC10" t="s">
        <v>278</v>
      </c>
      <c r="FD10" t="s">
        <v>88</v>
      </c>
      <c r="FO10">
        <v>9</v>
      </c>
      <c r="FP10" t="s">
        <v>202</v>
      </c>
      <c r="FQ10" t="s">
        <v>48</v>
      </c>
      <c r="FR10" t="s">
        <v>18</v>
      </c>
    </row>
    <row r="11" spans="1:174">
      <c r="A11" t="s">
        <v>71</v>
      </c>
      <c r="F11" t="s">
        <v>71</v>
      </c>
      <c r="G11" t="s">
        <v>71</v>
      </c>
      <c r="H11" t="s">
        <v>166</v>
      </c>
      <c r="I11" t="s">
        <v>166</v>
      </c>
      <c r="J11" t="s">
        <v>85</v>
      </c>
      <c r="K11" t="s">
        <v>170</v>
      </c>
      <c r="L11" t="s">
        <v>174</v>
      </c>
      <c r="M11" t="s">
        <v>89</v>
      </c>
      <c r="P11">
        <v>13</v>
      </c>
      <c r="R11">
        <v>10</v>
      </c>
      <c r="S11">
        <v>0.769231</v>
      </c>
      <c r="T11">
        <v>12</v>
      </c>
      <c r="U11">
        <v>0.923077</v>
      </c>
      <c r="V11">
        <v>26</v>
      </c>
      <c r="W11">
        <v>2</v>
      </c>
      <c r="X11">
        <v>9</v>
      </c>
      <c r="Y11">
        <v>0.692308</v>
      </c>
      <c r="Z11">
        <v>4</v>
      </c>
      <c r="AA11">
        <v>0.307692</v>
      </c>
      <c r="AB11">
        <v>1</v>
      </c>
      <c r="AC11">
        <v>0.07692300000000001</v>
      </c>
      <c r="AD11">
        <v>1</v>
      </c>
      <c r="AE11">
        <v>0.07692300000000001</v>
      </c>
      <c r="AF11">
        <v>5</v>
      </c>
      <c r="AG11">
        <v>0.384615</v>
      </c>
      <c r="AH11">
        <v>1</v>
      </c>
      <c r="AI11">
        <v>0.07692300000000001</v>
      </c>
      <c r="AJ11">
        <v>7</v>
      </c>
      <c r="AK11">
        <v>0.538462</v>
      </c>
      <c r="AL11">
        <v>0</v>
      </c>
      <c r="AM11">
        <v>0</v>
      </c>
      <c r="AN11">
        <v>4</v>
      </c>
      <c r="AO11">
        <v>0.307692</v>
      </c>
      <c r="AP11">
        <v>5</v>
      </c>
      <c r="AQ11">
        <v>0.384615</v>
      </c>
      <c r="AR11">
        <v>0</v>
      </c>
      <c r="AS11">
        <v>0.333333</v>
      </c>
      <c r="AT11">
        <v>0.384615</v>
      </c>
      <c r="AU11">
        <v>13</v>
      </c>
      <c r="AV11">
        <v>83.5</v>
      </c>
      <c r="AW11">
        <v>83.5</v>
      </c>
      <c r="AX11">
        <v>6.423077</v>
      </c>
      <c r="AY11">
        <v>6.423077</v>
      </c>
      <c r="AZ11">
        <v>33.39</v>
      </c>
      <c r="DL11" t="s">
        <v>65</v>
      </c>
      <c r="DM11">
        <v>2</v>
      </c>
      <c r="DN11" t="s">
        <v>195</v>
      </c>
      <c r="DO11" t="s">
        <v>51</v>
      </c>
      <c r="DP11" t="s">
        <v>19</v>
      </c>
      <c r="DQ11">
        <v>1</v>
      </c>
      <c r="DS11">
        <v>1</v>
      </c>
      <c r="DU11">
        <v>1</v>
      </c>
      <c r="DV11">
        <v>3</v>
      </c>
      <c r="DX11">
        <v>1</v>
      </c>
      <c r="EA11">
        <v>1</v>
      </c>
      <c r="EC11">
        <v>-3</v>
      </c>
      <c r="EP11" t="s">
        <v>111</v>
      </c>
      <c r="EQ11">
        <v>6</v>
      </c>
      <c r="ER11" t="s">
        <v>199</v>
      </c>
      <c r="ES11" t="s">
        <v>44</v>
      </c>
      <c r="ET11" t="s">
        <v>19</v>
      </c>
      <c r="EU11" t="s">
        <v>88</v>
      </c>
      <c r="EV11">
        <v>2</v>
      </c>
      <c r="EW11">
        <v>5</v>
      </c>
      <c r="EX11">
        <v>0.285714</v>
      </c>
      <c r="FA11">
        <v>-9</v>
      </c>
      <c r="FC11" t="s">
        <v>279</v>
      </c>
      <c r="FD11" t="s">
        <v>88</v>
      </c>
      <c r="FO11">
        <v>10</v>
      </c>
      <c r="FP11" t="s">
        <v>206</v>
      </c>
      <c r="FQ11" t="s">
        <v>30</v>
      </c>
      <c r="FR11" t="s">
        <v>19</v>
      </c>
    </row>
    <row r="12" spans="1:174">
      <c r="A12" t="s">
        <v>129</v>
      </c>
      <c r="F12" t="s">
        <v>129</v>
      </c>
      <c r="G12" t="s">
        <v>129</v>
      </c>
      <c r="H12" t="s">
        <v>166</v>
      </c>
      <c r="I12" t="s">
        <v>166</v>
      </c>
      <c r="J12" t="s">
        <v>85</v>
      </c>
      <c r="K12" t="s">
        <v>170</v>
      </c>
      <c r="L12" t="s">
        <v>174</v>
      </c>
      <c r="M12" t="s">
        <v>89</v>
      </c>
      <c r="P12">
        <v>10</v>
      </c>
      <c r="R12">
        <v>0</v>
      </c>
      <c r="S12">
        <v>0</v>
      </c>
      <c r="T12">
        <v>1</v>
      </c>
      <c r="U12">
        <v>0.1</v>
      </c>
      <c r="V12">
        <v>3</v>
      </c>
      <c r="W12">
        <v>0.3</v>
      </c>
      <c r="X12">
        <v>2</v>
      </c>
      <c r="Y12">
        <v>0.2</v>
      </c>
      <c r="Z12">
        <v>1</v>
      </c>
      <c r="AA12">
        <v>0.1</v>
      </c>
      <c r="AB12">
        <v>0</v>
      </c>
      <c r="AC12">
        <v>0</v>
      </c>
      <c r="AD12">
        <v>2</v>
      </c>
      <c r="AE12">
        <v>0.2</v>
      </c>
      <c r="AF12">
        <v>4</v>
      </c>
      <c r="AG12">
        <v>0.4</v>
      </c>
      <c r="AH12">
        <v>1</v>
      </c>
      <c r="AI12">
        <v>0.1</v>
      </c>
      <c r="AJ12">
        <v>1</v>
      </c>
      <c r="AK12">
        <v>0.1</v>
      </c>
      <c r="AL12">
        <v>0</v>
      </c>
      <c r="AM12">
        <v>0</v>
      </c>
      <c r="AN12">
        <v>2</v>
      </c>
      <c r="AO12">
        <v>0.2</v>
      </c>
      <c r="AP12">
        <v>2</v>
      </c>
      <c r="AQ12">
        <v>0.2</v>
      </c>
      <c r="AR12">
        <v>0</v>
      </c>
      <c r="AS12">
        <v>0</v>
      </c>
      <c r="AT12">
        <v>0</v>
      </c>
      <c r="AU12">
        <v>10</v>
      </c>
      <c r="AV12">
        <v>-10</v>
      </c>
      <c r="AW12">
        <v>-10</v>
      </c>
      <c r="AX12">
        <v>-1</v>
      </c>
      <c r="AY12">
        <v>-1</v>
      </c>
      <c r="AZ12">
        <v>0</v>
      </c>
      <c r="DL12" t="s">
        <v>70</v>
      </c>
      <c r="DM12">
        <v>2</v>
      </c>
      <c r="DN12" t="s">
        <v>195</v>
      </c>
      <c r="DO12" t="s">
        <v>51</v>
      </c>
      <c r="DP12" t="s">
        <v>19</v>
      </c>
      <c r="DU12">
        <v>1</v>
      </c>
      <c r="DX12">
        <v>1</v>
      </c>
      <c r="DY12">
        <v>1</v>
      </c>
      <c r="EC12">
        <v>2.5</v>
      </c>
      <c r="EP12" t="s">
        <v>110</v>
      </c>
      <c r="EQ12">
        <v>7</v>
      </c>
      <c r="ER12" t="s">
        <v>200</v>
      </c>
      <c r="ES12" t="s">
        <v>45</v>
      </c>
      <c r="ET12" t="s">
        <v>18</v>
      </c>
      <c r="EU12" t="s">
        <v>88</v>
      </c>
      <c r="EV12">
        <v>12</v>
      </c>
      <c r="EW12">
        <v>11</v>
      </c>
      <c r="EX12">
        <v>0.521739</v>
      </c>
      <c r="EY12">
        <v>1</v>
      </c>
      <c r="FA12">
        <v>6</v>
      </c>
      <c r="FC12" t="s">
        <v>280</v>
      </c>
      <c r="FD12" t="s">
        <v>88</v>
      </c>
      <c r="FO12">
        <v>11</v>
      </c>
      <c r="FP12" t="s">
        <v>203</v>
      </c>
      <c r="FQ12" t="s">
        <v>51</v>
      </c>
      <c r="FR12" t="s">
        <v>18</v>
      </c>
    </row>
    <row r="13" spans="1:174">
      <c r="A13" t="s">
        <v>66</v>
      </c>
      <c r="F13" t="s">
        <v>66</v>
      </c>
      <c r="G13" t="s">
        <v>66</v>
      </c>
      <c r="H13" t="s">
        <v>166</v>
      </c>
      <c r="I13" t="s">
        <v>166</v>
      </c>
      <c r="J13" t="s">
        <v>85</v>
      </c>
      <c r="K13" t="s">
        <v>167</v>
      </c>
      <c r="L13" t="s">
        <v>171</v>
      </c>
      <c r="M13" t="s">
        <v>89</v>
      </c>
      <c r="P13">
        <v>14</v>
      </c>
      <c r="R13">
        <v>11</v>
      </c>
      <c r="S13">
        <v>0.785714</v>
      </c>
      <c r="T13">
        <v>4</v>
      </c>
      <c r="U13">
        <v>0.285714</v>
      </c>
      <c r="V13">
        <v>27</v>
      </c>
      <c r="W13">
        <v>1.928571</v>
      </c>
      <c r="X13">
        <v>4</v>
      </c>
      <c r="Y13">
        <v>0.285714</v>
      </c>
      <c r="Z13">
        <v>2</v>
      </c>
      <c r="AA13">
        <v>0.142857</v>
      </c>
      <c r="AB13">
        <v>2</v>
      </c>
      <c r="AC13">
        <v>0.142857</v>
      </c>
      <c r="AD13">
        <v>2</v>
      </c>
      <c r="AE13">
        <v>0.142857</v>
      </c>
      <c r="AF13">
        <v>11</v>
      </c>
      <c r="AG13">
        <v>0.785714</v>
      </c>
      <c r="AH13">
        <v>1</v>
      </c>
      <c r="AI13">
        <v>0.07142900000000001</v>
      </c>
      <c r="AJ13">
        <v>4</v>
      </c>
      <c r="AK13">
        <v>0.285714</v>
      </c>
      <c r="AL13">
        <v>0</v>
      </c>
      <c r="AM13">
        <v>0</v>
      </c>
      <c r="AN13">
        <v>0</v>
      </c>
      <c r="AO13">
        <v>0</v>
      </c>
      <c r="AP13">
        <v>8</v>
      </c>
      <c r="AQ13">
        <v>0.571429</v>
      </c>
      <c r="AR13">
        <v>0</v>
      </c>
      <c r="AS13">
        <v>0.358974</v>
      </c>
      <c r="AT13">
        <v>0.407407</v>
      </c>
      <c r="AU13">
        <v>14</v>
      </c>
      <c r="AV13">
        <v>47</v>
      </c>
      <c r="AW13">
        <v>47</v>
      </c>
      <c r="AX13">
        <v>3.357143</v>
      </c>
      <c r="AY13">
        <v>3.357143</v>
      </c>
      <c r="AZ13">
        <v>20.36</v>
      </c>
      <c r="DL13" t="s">
        <v>66</v>
      </c>
      <c r="DM13">
        <v>2</v>
      </c>
      <c r="DN13" t="s">
        <v>195</v>
      </c>
      <c r="DO13" t="s">
        <v>51</v>
      </c>
      <c r="DP13" t="s">
        <v>19</v>
      </c>
      <c r="DS13">
        <v>1</v>
      </c>
      <c r="EC13">
        <v>0.5</v>
      </c>
      <c r="EP13" t="s">
        <v>111</v>
      </c>
      <c r="EQ13">
        <v>7</v>
      </c>
      <c r="ER13" t="s">
        <v>200</v>
      </c>
      <c r="ES13" t="s">
        <v>45</v>
      </c>
      <c r="ET13" t="s">
        <v>18</v>
      </c>
      <c r="EU13" t="s">
        <v>89</v>
      </c>
      <c r="EX13">
        <v>0</v>
      </c>
      <c r="FA13">
        <v>0</v>
      </c>
      <c r="FC13" t="s">
        <v>281</v>
      </c>
      <c r="FD13" t="s">
        <v>89</v>
      </c>
      <c r="FO13">
        <v>12</v>
      </c>
      <c r="FP13" t="s">
        <v>31</v>
      </c>
      <c r="FQ13" t="s">
        <v>32</v>
      </c>
      <c r="FR13" t="s">
        <v>19</v>
      </c>
    </row>
    <row r="14" spans="1:174">
      <c r="A14" t="s">
        <v>130</v>
      </c>
      <c r="F14" t="s">
        <v>130</v>
      </c>
      <c r="G14" t="s">
        <v>130</v>
      </c>
      <c r="H14" t="s">
        <v>166</v>
      </c>
      <c r="I14" t="s">
        <v>166</v>
      </c>
      <c r="J14" t="s">
        <v>85</v>
      </c>
      <c r="K14" t="s">
        <v>168</v>
      </c>
      <c r="L14" t="s">
        <v>172</v>
      </c>
      <c r="M14" t="s">
        <v>89</v>
      </c>
      <c r="P14">
        <v>1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1</v>
      </c>
      <c r="AQ14">
        <v>1</v>
      </c>
      <c r="AS14">
        <v>0</v>
      </c>
      <c r="AU14">
        <v>1</v>
      </c>
      <c r="AV14">
        <v>-1</v>
      </c>
      <c r="AW14">
        <v>-1</v>
      </c>
      <c r="AX14">
        <v>-1</v>
      </c>
      <c r="AY14">
        <v>-1</v>
      </c>
      <c r="AZ14">
        <v>3.21</v>
      </c>
      <c r="DL14" t="s">
        <v>129</v>
      </c>
      <c r="DM14">
        <v>2</v>
      </c>
      <c r="DN14" t="s">
        <v>195</v>
      </c>
      <c r="DO14" t="s">
        <v>51</v>
      </c>
      <c r="DP14" t="s">
        <v>19</v>
      </c>
      <c r="DS14">
        <v>1</v>
      </c>
      <c r="DU14">
        <v>1</v>
      </c>
      <c r="DW14">
        <v>1</v>
      </c>
      <c r="DX14">
        <v>1</v>
      </c>
      <c r="EA14">
        <v>2</v>
      </c>
      <c r="EC14">
        <v>-1.5</v>
      </c>
      <c r="EP14" t="s">
        <v>111</v>
      </c>
      <c r="EQ14">
        <v>8</v>
      </c>
      <c r="ER14" t="s">
        <v>201</v>
      </c>
      <c r="ES14" t="s">
        <v>50</v>
      </c>
      <c r="ET14" t="s">
        <v>19</v>
      </c>
      <c r="EU14" t="s">
        <v>88</v>
      </c>
      <c r="EV14">
        <v>10</v>
      </c>
      <c r="EW14">
        <v>9</v>
      </c>
      <c r="EX14">
        <v>0.526316</v>
      </c>
      <c r="FA14">
        <v>3</v>
      </c>
      <c r="FC14" t="s">
        <v>282</v>
      </c>
      <c r="FD14" t="s">
        <v>88</v>
      </c>
      <c r="FO14">
        <v>13</v>
      </c>
      <c r="FP14" t="s">
        <v>204</v>
      </c>
      <c r="FQ14" t="s">
        <v>49</v>
      </c>
      <c r="FR14" t="s">
        <v>18</v>
      </c>
    </row>
    <row r="15" spans="1:174">
      <c r="A15" t="s">
        <v>70</v>
      </c>
      <c r="F15" t="s">
        <v>70</v>
      </c>
      <c r="G15" t="s">
        <v>70</v>
      </c>
      <c r="H15" t="s">
        <v>166</v>
      </c>
      <c r="I15" t="s">
        <v>166</v>
      </c>
      <c r="J15" t="s">
        <v>85</v>
      </c>
      <c r="K15" t="s">
        <v>170</v>
      </c>
      <c r="L15" t="s">
        <v>174</v>
      </c>
      <c r="M15" t="s">
        <v>89</v>
      </c>
      <c r="P15">
        <v>16</v>
      </c>
      <c r="R15">
        <v>1</v>
      </c>
      <c r="S15">
        <v>0.0625</v>
      </c>
      <c r="T15">
        <v>14</v>
      </c>
      <c r="U15">
        <v>0.875</v>
      </c>
      <c r="V15">
        <v>14</v>
      </c>
      <c r="W15">
        <v>0.875</v>
      </c>
      <c r="X15">
        <v>4</v>
      </c>
      <c r="Y15">
        <v>0.25</v>
      </c>
      <c r="Z15">
        <v>3</v>
      </c>
      <c r="AA15">
        <v>0.1875</v>
      </c>
      <c r="AB15">
        <v>5</v>
      </c>
      <c r="AC15">
        <v>0.3125</v>
      </c>
      <c r="AD15">
        <v>2</v>
      </c>
      <c r="AE15">
        <v>0.125</v>
      </c>
      <c r="AF15">
        <v>6</v>
      </c>
      <c r="AG15">
        <v>0.375</v>
      </c>
      <c r="AH15">
        <v>0</v>
      </c>
      <c r="AI15">
        <v>0</v>
      </c>
      <c r="AJ15">
        <v>2</v>
      </c>
      <c r="AK15">
        <v>0.125</v>
      </c>
      <c r="AL15">
        <v>0</v>
      </c>
      <c r="AM15">
        <v>0</v>
      </c>
      <c r="AN15">
        <v>2</v>
      </c>
      <c r="AO15">
        <v>0.125</v>
      </c>
      <c r="AP15">
        <v>6</v>
      </c>
      <c r="AQ15">
        <v>0.375</v>
      </c>
      <c r="AR15">
        <v>0</v>
      </c>
      <c r="AS15">
        <v>0.033333</v>
      </c>
      <c r="AT15">
        <v>0.07142900000000001</v>
      </c>
      <c r="AU15">
        <v>16</v>
      </c>
      <c r="AV15">
        <v>51.5</v>
      </c>
      <c r="AW15">
        <v>51.5</v>
      </c>
      <c r="AX15">
        <v>3.21875</v>
      </c>
      <c r="AY15">
        <v>3.21875</v>
      </c>
      <c r="AZ15">
        <v>21.96</v>
      </c>
      <c r="DL15" t="s">
        <v>64</v>
      </c>
      <c r="DM15">
        <v>3</v>
      </c>
      <c r="DN15" t="s">
        <v>196</v>
      </c>
      <c r="DO15" t="s">
        <v>32</v>
      </c>
      <c r="DP15" t="s">
        <v>18</v>
      </c>
      <c r="DS15">
        <v>2</v>
      </c>
      <c r="DT15">
        <v>0</v>
      </c>
      <c r="DU15">
        <v>1</v>
      </c>
      <c r="DW15">
        <v>1</v>
      </c>
      <c r="DX15">
        <v>2</v>
      </c>
      <c r="EC15">
        <v>0.5</v>
      </c>
      <c r="EP15" t="s">
        <v>109</v>
      </c>
      <c r="EQ15">
        <v>8</v>
      </c>
      <c r="ER15" t="s">
        <v>201</v>
      </c>
      <c r="ES15" t="s">
        <v>50</v>
      </c>
      <c r="ET15" t="s">
        <v>19</v>
      </c>
      <c r="EU15" t="s">
        <v>89</v>
      </c>
      <c r="EX15">
        <v>0</v>
      </c>
      <c r="FA15">
        <v>0</v>
      </c>
      <c r="FC15" t="s">
        <v>283</v>
      </c>
      <c r="FD15" t="s">
        <v>89</v>
      </c>
      <c r="FO15">
        <v>14</v>
      </c>
      <c r="FP15" t="s">
        <v>205</v>
      </c>
      <c r="FQ15" t="s">
        <v>47</v>
      </c>
      <c r="FR15" t="s">
        <v>19</v>
      </c>
    </row>
    <row r="16" spans="1:174">
      <c r="A16" t="s">
        <v>62</v>
      </c>
      <c r="F16" t="s">
        <v>62</v>
      </c>
      <c r="G16" t="s">
        <v>62</v>
      </c>
      <c r="H16" t="s">
        <v>166</v>
      </c>
      <c r="I16" t="s">
        <v>166</v>
      </c>
      <c r="J16" t="s">
        <v>85</v>
      </c>
      <c r="K16" t="s">
        <v>169</v>
      </c>
      <c r="L16" t="s">
        <v>173</v>
      </c>
      <c r="M16" t="s">
        <v>89</v>
      </c>
      <c r="P16">
        <v>15</v>
      </c>
      <c r="R16">
        <v>19</v>
      </c>
      <c r="S16">
        <v>1.266667</v>
      </c>
      <c r="T16">
        <v>4</v>
      </c>
      <c r="U16">
        <v>0.266667</v>
      </c>
      <c r="V16">
        <v>33</v>
      </c>
      <c r="W16">
        <v>2.2</v>
      </c>
      <c r="X16">
        <v>5</v>
      </c>
      <c r="Y16">
        <v>0.333333</v>
      </c>
      <c r="Z16">
        <v>32</v>
      </c>
      <c r="AA16">
        <v>2.133333</v>
      </c>
      <c r="AB16">
        <v>7</v>
      </c>
      <c r="AC16">
        <v>0.466667</v>
      </c>
      <c r="AD16">
        <v>6</v>
      </c>
      <c r="AE16">
        <v>0.4</v>
      </c>
      <c r="AF16">
        <v>8</v>
      </c>
      <c r="AG16">
        <v>0.5333329999999999</v>
      </c>
      <c r="AH16">
        <v>0</v>
      </c>
      <c r="AI16">
        <v>0</v>
      </c>
      <c r="AJ16">
        <v>9</v>
      </c>
      <c r="AK16">
        <v>0.6</v>
      </c>
      <c r="AL16">
        <v>0</v>
      </c>
      <c r="AM16">
        <v>0</v>
      </c>
      <c r="AN16">
        <v>14</v>
      </c>
      <c r="AO16">
        <v>0.933333</v>
      </c>
      <c r="AP16">
        <v>5</v>
      </c>
      <c r="AQ16">
        <v>0.333333</v>
      </c>
      <c r="AR16">
        <v>0.666667</v>
      </c>
      <c r="AS16">
        <v>0.458333</v>
      </c>
      <c r="AT16">
        <v>0.575758</v>
      </c>
      <c r="AU16">
        <v>15</v>
      </c>
      <c r="AV16">
        <v>164.5</v>
      </c>
      <c r="AW16">
        <v>164.5</v>
      </c>
      <c r="AX16">
        <v>10.966667</v>
      </c>
      <c r="AY16">
        <v>10.966667</v>
      </c>
      <c r="AZ16">
        <v>62.32</v>
      </c>
      <c r="DL16" t="s">
        <v>61</v>
      </c>
      <c r="DM16">
        <v>3</v>
      </c>
      <c r="DN16" t="s">
        <v>196</v>
      </c>
      <c r="DO16" t="s">
        <v>32</v>
      </c>
      <c r="DP16" t="s">
        <v>18</v>
      </c>
      <c r="DQ16">
        <v>2</v>
      </c>
      <c r="DR16">
        <v>1</v>
      </c>
      <c r="DS16">
        <v>4</v>
      </c>
      <c r="DT16">
        <v>0.5</v>
      </c>
      <c r="DU16">
        <v>1</v>
      </c>
      <c r="DW16">
        <v>1</v>
      </c>
      <c r="DX16">
        <v>1</v>
      </c>
      <c r="EB16">
        <v>1</v>
      </c>
      <c r="EC16">
        <v>15</v>
      </c>
      <c r="EP16" t="s">
        <v>110</v>
      </c>
      <c r="EQ16">
        <v>9</v>
      </c>
      <c r="ER16" t="s">
        <v>202</v>
      </c>
      <c r="ES16" t="s">
        <v>48</v>
      </c>
      <c r="ET16" t="s">
        <v>18</v>
      </c>
      <c r="EU16" t="s">
        <v>88</v>
      </c>
      <c r="EV16">
        <v>0</v>
      </c>
      <c r="EW16">
        <v>3</v>
      </c>
      <c r="EX16">
        <v>0</v>
      </c>
      <c r="EZ16">
        <v>1</v>
      </c>
      <c r="FA16">
        <v>-11</v>
      </c>
      <c r="FC16" t="s">
        <v>284</v>
      </c>
      <c r="FD16" t="s">
        <v>88</v>
      </c>
      <c r="FO16">
        <v>15</v>
      </c>
      <c r="FP16" t="s">
        <v>207</v>
      </c>
      <c r="FQ16" t="s">
        <v>44</v>
      </c>
      <c r="FR16" t="s">
        <v>18</v>
      </c>
    </row>
    <row r="17" spans="1:174">
      <c r="A17" t="s">
        <v>59</v>
      </c>
      <c r="F17" t="s">
        <v>59</v>
      </c>
      <c r="G17" t="s">
        <v>59</v>
      </c>
      <c r="H17" t="s">
        <v>166</v>
      </c>
      <c r="I17" t="s">
        <v>166</v>
      </c>
      <c r="J17" t="s">
        <v>85</v>
      </c>
      <c r="K17" t="s">
        <v>167</v>
      </c>
      <c r="L17" t="s">
        <v>171</v>
      </c>
      <c r="M17" t="s">
        <v>89</v>
      </c>
      <c r="P17">
        <v>16</v>
      </c>
      <c r="R17">
        <v>57</v>
      </c>
      <c r="S17">
        <v>3.5625</v>
      </c>
      <c r="T17">
        <v>6</v>
      </c>
      <c r="U17">
        <v>0.375</v>
      </c>
      <c r="V17">
        <v>118</v>
      </c>
      <c r="W17">
        <v>7.375</v>
      </c>
      <c r="X17">
        <v>12</v>
      </c>
      <c r="Y17">
        <v>0.75</v>
      </c>
      <c r="Z17">
        <v>6</v>
      </c>
      <c r="AA17">
        <v>0.375</v>
      </c>
      <c r="AB17">
        <v>3</v>
      </c>
      <c r="AC17">
        <v>0.1875</v>
      </c>
      <c r="AD17">
        <v>4</v>
      </c>
      <c r="AE17">
        <v>0.25</v>
      </c>
      <c r="AF17">
        <v>17</v>
      </c>
      <c r="AG17">
        <v>1.0625</v>
      </c>
      <c r="AH17">
        <v>2</v>
      </c>
      <c r="AI17">
        <v>0.125</v>
      </c>
      <c r="AJ17">
        <v>21</v>
      </c>
      <c r="AK17">
        <v>1.3125</v>
      </c>
      <c r="AL17">
        <v>0</v>
      </c>
      <c r="AM17">
        <v>0</v>
      </c>
      <c r="AN17">
        <v>8</v>
      </c>
      <c r="AO17">
        <v>0.5</v>
      </c>
      <c r="AP17">
        <v>21</v>
      </c>
      <c r="AQ17">
        <v>1.3125</v>
      </c>
      <c r="AR17">
        <v>0.444444</v>
      </c>
      <c r="AS17">
        <v>0.500387</v>
      </c>
      <c r="AT17">
        <v>0.483051</v>
      </c>
      <c r="AU17">
        <v>16</v>
      </c>
      <c r="AV17">
        <v>265.5</v>
      </c>
      <c r="AW17">
        <v>265.5</v>
      </c>
      <c r="AX17">
        <v>16.59375</v>
      </c>
      <c r="AY17">
        <v>16.59375</v>
      </c>
      <c r="AZ17">
        <v>98.39</v>
      </c>
      <c r="DL17" t="s">
        <v>68</v>
      </c>
      <c r="DM17">
        <v>3</v>
      </c>
      <c r="DN17" t="s">
        <v>196</v>
      </c>
      <c r="DO17" t="s">
        <v>32</v>
      </c>
      <c r="DP17" t="s">
        <v>18</v>
      </c>
      <c r="DQ17">
        <v>1</v>
      </c>
      <c r="DR17">
        <v>2</v>
      </c>
      <c r="DS17">
        <v>4</v>
      </c>
      <c r="DT17">
        <v>0.25</v>
      </c>
      <c r="DU17">
        <v>1</v>
      </c>
      <c r="DX17">
        <v>2</v>
      </c>
      <c r="DY17">
        <v>1</v>
      </c>
      <c r="EB17">
        <v>1</v>
      </c>
      <c r="EC17">
        <v>11</v>
      </c>
      <c r="EP17" t="s">
        <v>111</v>
      </c>
      <c r="EQ17">
        <v>9</v>
      </c>
      <c r="ER17" t="s">
        <v>202</v>
      </c>
      <c r="ES17" t="s">
        <v>48</v>
      </c>
      <c r="ET17" t="s">
        <v>18</v>
      </c>
      <c r="EU17" t="s">
        <v>88</v>
      </c>
      <c r="EV17">
        <v>8</v>
      </c>
      <c r="EW17">
        <v>7</v>
      </c>
      <c r="EX17">
        <v>0.5333329999999999</v>
      </c>
      <c r="EZ17">
        <v>1</v>
      </c>
      <c r="FA17">
        <v>1</v>
      </c>
      <c r="FC17" t="s">
        <v>285</v>
      </c>
      <c r="FD17" t="s">
        <v>88</v>
      </c>
      <c r="FO17">
        <v>16</v>
      </c>
      <c r="FP17" t="s">
        <v>208</v>
      </c>
      <c r="FQ17" t="s">
        <v>45</v>
      </c>
      <c r="FR17" t="s">
        <v>19</v>
      </c>
    </row>
    <row r="18" spans="1:174">
      <c r="DL18" t="s">
        <v>59</v>
      </c>
      <c r="DM18">
        <v>3</v>
      </c>
      <c r="DN18" t="s">
        <v>196</v>
      </c>
      <c r="DO18" t="s">
        <v>32</v>
      </c>
      <c r="DP18" t="s">
        <v>18</v>
      </c>
      <c r="DQ18">
        <v>3</v>
      </c>
      <c r="DR18">
        <v>1</v>
      </c>
      <c r="DS18">
        <v>5</v>
      </c>
      <c r="DT18">
        <v>0.6</v>
      </c>
      <c r="DX18">
        <v>1</v>
      </c>
      <c r="DZ18">
        <v>1</v>
      </c>
      <c r="EA18">
        <v>2</v>
      </c>
      <c r="EB18">
        <v>2</v>
      </c>
      <c r="EC18">
        <v>7</v>
      </c>
      <c r="EP18" t="s">
        <v>111</v>
      </c>
      <c r="EQ18">
        <v>11</v>
      </c>
      <c r="ER18" t="s">
        <v>203</v>
      </c>
      <c r="ES18" t="s">
        <v>51</v>
      </c>
      <c r="ET18" t="s">
        <v>18</v>
      </c>
      <c r="EU18" t="s">
        <v>88</v>
      </c>
      <c r="EV18">
        <v>7</v>
      </c>
      <c r="EW18">
        <v>9</v>
      </c>
      <c r="EX18">
        <v>0.4375</v>
      </c>
      <c r="EZ18">
        <v>1</v>
      </c>
      <c r="FA18">
        <v>-8</v>
      </c>
      <c r="FC18" t="s">
        <v>286</v>
      </c>
      <c r="FD18" t="s">
        <v>88</v>
      </c>
      <c r="FO18">
        <v>17</v>
      </c>
      <c r="FP18" t="s">
        <v>209</v>
      </c>
      <c r="FQ18" t="s">
        <v>50</v>
      </c>
      <c r="FR18" t="s">
        <v>18</v>
      </c>
    </row>
    <row r="19" spans="1:174">
      <c r="DL19" t="s">
        <v>63</v>
      </c>
      <c r="DM19">
        <v>3</v>
      </c>
      <c r="DN19" t="s">
        <v>196</v>
      </c>
      <c r="DO19" t="s">
        <v>32</v>
      </c>
      <c r="DP19" t="s">
        <v>18</v>
      </c>
      <c r="DQ19">
        <v>1</v>
      </c>
      <c r="DS19">
        <v>1</v>
      </c>
      <c r="DT19">
        <v>1</v>
      </c>
      <c r="DU19">
        <v>1</v>
      </c>
      <c r="DW19">
        <v>1</v>
      </c>
      <c r="DY19">
        <v>1</v>
      </c>
      <c r="EB19">
        <v>3</v>
      </c>
      <c r="EC19">
        <v>7</v>
      </c>
      <c r="EP19" t="s">
        <v>109</v>
      </c>
      <c r="EQ19">
        <v>11</v>
      </c>
      <c r="ER19" t="s">
        <v>203</v>
      </c>
      <c r="ES19" t="s">
        <v>51</v>
      </c>
      <c r="ET19" t="s">
        <v>18</v>
      </c>
      <c r="EU19" t="s">
        <v>88</v>
      </c>
      <c r="EV19">
        <v>2</v>
      </c>
      <c r="EW19">
        <v>3</v>
      </c>
      <c r="EX19">
        <v>0.4</v>
      </c>
      <c r="FA19">
        <v>-3</v>
      </c>
      <c r="FC19" t="s">
        <v>287</v>
      </c>
      <c r="FD19" t="s">
        <v>88</v>
      </c>
      <c r="FO19">
        <v>18</v>
      </c>
      <c r="FP19" t="s">
        <v>210</v>
      </c>
      <c r="FQ19" t="s">
        <v>48</v>
      </c>
      <c r="FR19" t="s">
        <v>19</v>
      </c>
    </row>
    <row r="20" spans="1:174">
      <c r="DL20" t="s">
        <v>60</v>
      </c>
      <c r="DM20">
        <v>3</v>
      </c>
      <c r="DN20" t="s">
        <v>196</v>
      </c>
      <c r="DO20" t="s">
        <v>32</v>
      </c>
      <c r="DP20" t="s">
        <v>18</v>
      </c>
      <c r="DQ20">
        <v>5</v>
      </c>
      <c r="DR20">
        <v>1</v>
      </c>
      <c r="DS20">
        <v>9</v>
      </c>
      <c r="DT20">
        <v>0.555556</v>
      </c>
      <c r="DU20">
        <v>4</v>
      </c>
      <c r="DW20">
        <v>1</v>
      </c>
      <c r="DX20">
        <v>1</v>
      </c>
      <c r="EA20">
        <v>2</v>
      </c>
      <c r="EB20">
        <v>2</v>
      </c>
      <c r="EC20">
        <v>32.5</v>
      </c>
      <c r="EP20" t="s">
        <v>110</v>
      </c>
      <c r="EQ20">
        <v>13</v>
      </c>
      <c r="ER20" t="s">
        <v>204</v>
      </c>
      <c r="ES20" t="s">
        <v>49</v>
      </c>
      <c r="ET20" t="s">
        <v>18</v>
      </c>
      <c r="EU20" t="s">
        <v>88</v>
      </c>
      <c r="EV20">
        <v>3</v>
      </c>
      <c r="EW20">
        <v>5</v>
      </c>
      <c r="EX20">
        <v>0.375</v>
      </c>
      <c r="EY20">
        <v>1</v>
      </c>
      <c r="FA20">
        <v>-3</v>
      </c>
      <c r="FC20" t="s">
        <v>288</v>
      </c>
      <c r="FD20" t="s">
        <v>88</v>
      </c>
    </row>
    <row r="21" spans="1:174">
      <c r="DL21" t="s">
        <v>62</v>
      </c>
      <c r="DM21">
        <v>3</v>
      </c>
      <c r="DN21" t="s">
        <v>196</v>
      </c>
      <c r="DO21" t="s">
        <v>32</v>
      </c>
      <c r="DP21" t="s">
        <v>18</v>
      </c>
      <c r="DQ21">
        <v>1</v>
      </c>
      <c r="DS21">
        <v>2</v>
      </c>
      <c r="DT21">
        <v>0.5</v>
      </c>
      <c r="DW21">
        <v>1</v>
      </c>
      <c r="DX21">
        <v>1</v>
      </c>
      <c r="EA21">
        <v>1</v>
      </c>
      <c r="EC21">
        <v>4</v>
      </c>
      <c r="EP21" t="s">
        <v>111</v>
      </c>
      <c r="EQ21">
        <v>13</v>
      </c>
      <c r="ER21" t="s">
        <v>204</v>
      </c>
      <c r="ES21" t="s">
        <v>49</v>
      </c>
      <c r="ET21" t="s">
        <v>18</v>
      </c>
      <c r="EU21" t="s">
        <v>88</v>
      </c>
      <c r="EV21">
        <v>3</v>
      </c>
      <c r="EW21">
        <v>3</v>
      </c>
      <c r="EX21">
        <v>0.5</v>
      </c>
      <c r="FA21">
        <v>0</v>
      </c>
      <c r="FC21" t="s">
        <v>289</v>
      </c>
      <c r="FD21" t="s">
        <v>88</v>
      </c>
    </row>
    <row r="22" spans="1:174">
      <c r="DL22" t="s">
        <v>69</v>
      </c>
      <c r="DM22">
        <v>3</v>
      </c>
      <c r="DN22" t="s">
        <v>196</v>
      </c>
      <c r="DO22" t="s">
        <v>32</v>
      </c>
      <c r="DP22" t="s">
        <v>18</v>
      </c>
      <c r="DS22">
        <v>3</v>
      </c>
      <c r="DT22">
        <v>0</v>
      </c>
      <c r="DU22">
        <v>1</v>
      </c>
      <c r="DZ22">
        <v>2</v>
      </c>
      <c r="EA22">
        <v>1</v>
      </c>
      <c r="EC22">
        <v>-4.5</v>
      </c>
      <c r="EP22" t="s">
        <v>110</v>
      </c>
      <c r="EQ22">
        <v>14</v>
      </c>
      <c r="ER22" t="s">
        <v>205</v>
      </c>
      <c r="ES22" t="s">
        <v>47</v>
      </c>
      <c r="ET22" t="s">
        <v>19</v>
      </c>
      <c r="EU22" t="s">
        <v>89</v>
      </c>
      <c r="EX22">
        <v>0</v>
      </c>
      <c r="FA22">
        <v>0</v>
      </c>
      <c r="FC22" t="s">
        <v>290</v>
      </c>
      <c r="FD22" t="s">
        <v>89</v>
      </c>
    </row>
    <row r="23" spans="1:174">
      <c r="DL23" t="s">
        <v>65</v>
      </c>
      <c r="DM23">
        <v>3</v>
      </c>
      <c r="DN23" t="s">
        <v>196</v>
      </c>
      <c r="DO23" t="s">
        <v>32</v>
      </c>
      <c r="DP23" t="s">
        <v>18</v>
      </c>
      <c r="DQ23">
        <v>2</v>
      </c>
      <c r="DR23">
        <v>2</v>
      </c>
      <c r="DS23">
        <v>3</v>
      </c>
      <c r="DT23">
        <v>0.666667</v>
      </c>
      <c r="DU23">
        <v>3</v>
      </c>
      <c r="DV23">
        <v>1</v>
      </c>
      <c r="DX23">
        <v>2</v>
      </c>
      <c r="EC23">
        <v>16.5</v>
      </c>
      <c r="EP23" t="s">
        <v>111</v>
      </c>
      <c r="EQ23">
        <v>14</v>
      </c>
      <c r="ER23" t="s">
        <v>205</v>
      </c>
      <c r="ES23" t="s">
        <v>47</v>
      </c>
      <c r="ET23" t="s">
        <v>19</v>
      </c>
      <c r="EU23" t="s">
        <v>88</v>
      </c>
      <c r="EV23">
        <v>10</v>
      </c>
      <c r="EW23">
        <v>11</v>
      </c>
      <c r="EX23">
        <v>0.47619</v>
      </c>
      <c r="EY23">
        <v>2</v>
      </c>
      <c r="FA23">
        <v>3</v>
      </c>
      <c r="FC23" t="s">
        <v>291</v>
      </c>
      <c r="FD23" t="s">
        <v>88</v>
      </c>
    </row>
    <row r="24" spans="1:174">
      <c r="DL24" t="s">
        <v>70</v>
      </c>
      <c r="DM24">
        <v>3</v>
      </c>
      <c r="DN24" t="s">
        <v>196</v>
      </c>
      <c r="DO24" t="s">
        <v>32</v>
      </c>
      <c r="DP24" t="s">
        <v>18</v>
      </c>
      <c r="DR24">
        <v>2</v>
      </c>
      <c r="DS24">
        <v>1</v>
      </c>
      <c r="DT24">
        <v>0</v>
      </c>
      <c r="EC24">
        <v>6.5</v>
      </c>
      <c r="EP24" t="s">
        <v>110</v>
      </c>
      <c r="EQ24">
        <v>10</v>
      </c>
      <c r="ER24" t="s">
        <v>206</v>
      </c>
      <c r="ES24" t="s">
        <v>30</v>
      </c>
      <c r="ET24" t="s">
        <v>19</v>
      </c>
      <c r="EU24" t="s">
        <v>88</v>
      </c>
      <c r="EV24">
        <v>6</v>
      </c>
      <c r="EW24">
        <v>5</v>
      </c>
      <c r="EX24">
        <v>0.545455</v>
      </c>
      <c r="EY24">
        <v>1</v>
      </c>
      <c r="FA24">
        <v>2</v>
      </c>
      <c r="FC24" t="s">
        <v>292</v>
      </c>
      <c r="FD24" t="s">
        <v>88</v>
      </c>
    </row>
    <row r="25" spans="1:174">
      <c r="DL25" t="s">
        <v>66</v>
      </c>
      <c r="DM25">
        <v>3</v>
      </c>
      <c r="DN25" t="s">
        <v>196</v>
      </c>
      <c r="DO25" t="s">
        <v>32</v>
      </c>
      <c r="DP25" t="s">
        <v>18</v>
      </c>
      <c r="DT25">
        <v>0</v>
      </c>
      <c r="DX25">
        <v>2</v>
      </c>
      <c r="EC25">
        <v>-5</v>
      </c>
      <c r="EP25" t="s">
        <v>111</v>
      </c>
      <c r="EQ25">
        <v>10</v>
      </c>
      <c r="ER25" t="s">
        <v>206</v>
      </c>
      <c r="ES25" t="s">
        <v>30</v>
      </c>
      <c r="ET25" t="s">
        <v>19</v>
      </c>
      <c r="EU25" t="s">
        <v>88</v>
      </c>
      <c r="EW25">
        <v>1</v>
      </c>
      <c r="EX25">
        <v>0</v>
      </c>
      <c r="FA25">
        <v>-3</v>
      </c>
      <c r="FC25" t="s">
        <v>293</v>
      </c>
      <c r="FD25" t="s">
        <v>88</v>
      </c>
    </row>
    <row r="26" spans="1:174">
      <c r="DL26" t="s">
        <v>129</v>
      </c>
      <c r="DM26">
        <v>3</v>
      </c>
      <c r="DN26" t="s">
        <v>196</v>
      </c>
      <c r="DO26" t="s">
        <v>32</v>
      </c>
      <c r="DP26" t="s">
        <v>18</v>
      </c>
      <c r="DS26">
        <v>2</v>
      </c>
      <c r="DT26">
        <v>0</v>
      </c>
      <c r="DZ26">
        <v>1</v>
      </c>
      <c r="EC26">
        <v>-2</v>
      </c>
      <c r="EP26" t="s">
        <v>109</v>
      </c>
      <c r="EQ26">
        <v>10</v>
      </c>
      <c r="ER26" t="s">
        <v>206</v>
      </c>
      <c r="ES26" t="s">
        <v>30</v>
      </c>
      <c r="ET26" t="s">
        <v>19</v>
      </c>
      <c r="EU26" t="s">
        <v>88</v>
      </c>
      <c r="EV26">
        <v>2</v>
      </c>
      <c r="EW26">
        <v>2</v>
      </c>
      <c r="EX26">
        <v>0.5</v>
      </c>
      <c r="EY26">
        <v>2</v>
      </c>
      <c r="FA26">
        <v>6</v>
      </c>
      <c r="FC26" t="s">
        <v>294</v>
      </c>
      <c r="FD26" t="s">
        <v>88</v>
      </c>
    </row>
    <row r="27" spans="1:174">
      <c r="DL27" t="s">
        <v>64</v>
      </c>
      <c r="DM27">
        <v>4</v>
      </c>
      <c r="DN27" t="s">
        <v>197</v>
      </c>
      <c r="DO27" t="s">
        <v>49</v>
      </c>
      <c r="DP27" t="s">
        <v>19</v>
      </c>
      <c r="DQ27">
        <v>1</v>
      </c>
      <c r="DS27">
        <v>3</v>
      </c>
      <c r="DT27">
        <v>0.333333</v>
      </c>
      <c r="DU27">
        <v>2</v>
      </c>
      <c r="EC27">
        <v>10.5</v>
      </c>
      <c r="EP27" t="s">
        <v>110</v>
      </c>
      <c r="EQ27">
        <v>15</v>
      </c>
      <c r="ER27" t="s">
        <v>207</v>
      </c>
      <c r="ES27" t="s">
        <v>44</v>
      </c>
      <c r="ET27" t="s">
        <v>18</v>
      </c>
      <c r="EU27" t="s">
        <v>89</v>
      </c>
      <c r="EX27">
        <v>0</v>
      </c>
      <c r="FA27">
        <v>0</v>
      </c>
      <c r="FC27" t="s">
        <v>295</v>
      </c>
      <c r="FD27" t="s">
        <v>89</v>
      </c>
    </row>
    <row r="28" spans="1:174">
      <c r="DL28" t="s">
        <v>61</v>
      </c>
      <c r="DM28">
        <v>4</v>
      </c>
      <c r="DN28" t="s">
        <v>197</v>
      </c>
      <c r="DO28" t="s">
        <v>49</v>
      </c>
      <c r="DP28" t="s">
        <v>19</v>
      </c>
      <c r="DT28">
        <v>0</v>
      </c>
      <c r="DV28">
        <v>1</v>
      </c>
      <c r="DW28">
        <v>1</v>
      </c>
      <c r="DY28">
        <v>3</v>
      </c>
      <c r="EA28">
        <v>2</v>
      </c>
      <c r="EB28">
        <v>1</v>
      </c>
      <c r="EC28">
        <v>3.5</v>
      </c>
      <c r="EP28" t="s">
        <v>111</v>
      </c>
      <c r="EQ28">
        <v>15</v>
      </c>
      <c r="ER28" t="s">
        <v>207</v>
      </c>
      <c r="ES28" t="s">
        <v>44</v>
      </c>
      <c r="ET28" t="s">
        <v>18</v>
      </c>
      <c r="EU28" t="s">
        <v>88</v>
      </c>
      <c r="EV28">
        <v>6</v>
      </c>
      <c r="EW28">
        <v>8</v>
      </c>
      <c r="EX28">
        <v>0.428571</v>
      </c>
      <c r="EY28">
        <v>2</v>
      </c>
      <c r="FA28">
        <v>0</v>
      </c>
      <c r="FC28" t="s">
        <v>296</v>
      </c>
      <c r="FD28" t="s">
        <v>88</v>
      </c>
    </row>
    <row r="29" spans="1:174">
      <c r="DL29" t="s">
        <v>68</v>
      </c>
      <c r="DM29">
        <v>4</v>
      </c>
      <c r="DN29" t="s">
        <v>197</v>
      </c>
      <c r="DO29" t="s">
        <v>49</v>
      </c>
      <c r="DP29" t="s">
        <v>19</v>
      </c>
      <c r="DR29">
        <v>1</v>
      </c>
      <c r="DS29">
        <v>2</v>
      </c>
      <c r="DT29">
        <v>0</v>
      </c>
      <c r="EC29">
        <v>4</v>
      </c>
      <c r="EP29" t="s">
        <v>110</v>
      </c>
      <c r="EQ29">
        <v>16</v>
      </c>
      <c r="ER29" t="s">
        <v>208</v>
      </c>
      <c r="ES29" t="s">
        <v>45</v>
      </c>
      <c r="ET29" t="s">
        <v>19</v>
      </c>
      <c r="EU29" t="s">
        <v>89</v>
      </c>
      <c r="EX29">
        <v>0</v>
      </c>
      <c r="FA29">
        <v>0</v>
      </c>
      <c r="FC29" t="s">
        <v>297</v>
      </c>
      <c r="FD29" t="s">
        <v>89</v>
      </c>
    </row>
    <row r="30" spans="1:174">
      <c r="DL30" t="s">
        <v>59</v>
      </c>
      <c r="DM30">
        <v>4</v>
      </c>
      <c r="DN30" t="s">
        <v>197</v>
      </c>
      <c r="DO30" t="s">
        <v>49</v>
      </c>
      <c r="DP30" t="s">
        <v>19</v>
      </c>
      <c r="DQ30">
        <v>7</v>
      </c>
      <c r="DS30">
        <v>11</v>
      </c>
      <c r="DT30">
        <v>0.636364</v>
      </c>
      <c r="DU30">
        <v>1</v>
      </c>
      <c r="DV30">
        <v>3</v>
      </c>
      <c r="DX30">
        <v>1</v>
      </c>
      <c r="DY30">
        <v>1</v>
      </c>
      <c r="EB30">
        <v>1</v>
      </c>
      <c r="EC30">
        <v>35</v>
      </c>
      <c r="EP30" t="s">
        <v>111</v>
      </c>
      <c r="EQ30">
        <v>16</v>
      </c>
      <c r="ER30" t="s">
        <v>208</v>
      </c>
      <c r="ES30" t="s">
        <v>45</v>
      </c>
      <c r="ET30" t="s">
        <v>19</v>
      </c>
      <c r="EU30" t="s">
        <v>88</v>
      </c>
      <c r="EV30">
        <v>9</v>
      </c>
      <c r="EW30">
        <v>12</v>
      </c>
      <c r="EX30">
        <v>0.428571</v>
      </c>
      <c r="EZ30">
        <v>1</v>
      </c>
      <c r="FA30">
        <v>-11</v>
      </c>
      <c r="FC30" t="s">
        <v>298</v>
      </c>
      <c r="FD30" t="s">
        <v>88</v>
      </c>
    </row>
    <row r="31" spans="1:174">
      <c r="DL31" t="s">
        <v>71</v>
      </c>
      <c r="DM31">
        <v>4</v>
      </c>
      <c r="DN31" t="s">
        <v>197</v>
      </c>
      <c r="DO31" t="s">
        <v>49</v>
      </c>
      <c r="DP31" t="s">
        <v>19</v>
      </c>
      <c r="DR31">
        <v>1</v>
      </c>
      <c r="DS31">
        <v>3</v>
      </c>
      <c r="DT31">
        <v>0</v>
      </c>
      <c r="DV31">
        <v>2</v>
      </c>
      <c r="DY31">
        <v>1</v>
      </c>
      <c r="EB31">
        <v>1</v>
      </c>
      <c r="EC31">
        <v>1.5</v>
      </c>
      <c r="EP31" t="s">
        <v>110</v>
      </c>
      <c r="EQ31">
        <v>17</v>
      </c>
      <c r="ER31" t="s">
        <v>209</v>
      </c>
      <c r="ES31" t="s">
        <v>50</v>
      </c>
      <c r="ET31" t="s">
        <v>18</v>
      </c>
      <c r="EU31" t="s">
        <v>89</v>
      </c>
      <c r="EX31">
        <v>0</v>
      </c>
      <c r="FA31">
        <v>0</v>
      </c>
      <c r="FC31" t="s">
        <v>299</v>
      </c>
      <c r="FD31" t="s">
        <v>89</v>
      </c>
    </row>
    <row r="32" spans="1:174">
      <c r="DL32" t="s">
        <v>63</v>
      </c>
      <c r="DM32">
        <v>4</v>
      </c>
      <c r="DN32" t="s">
        <v>197</v>
      </c>
      <c r="DO32" t="s">
        <v>49</v>
      </c>
      <c r="DP32" t="s">
        <v>19</v>
      </c>
      <c r="DT32">
        <v>0</v>
      </c>
      <c r="DU32">
        <v>2</v>
      </c>
      <c r="DV32">
        <v>2</v>
      </c>
      <c r="DX32">
        <v>1</v>
      </c>
      <c r="EB32">
        <v>1</v>
      </c>
      <c r="EC32">
        <v>-4.5</v>
      </c>
      <c r="EP32" t="s">
        <v>111</v>
      </c>
      <c r="EQ32">
        <v>17</v>
      </c>
      <c r="ER32" t="s">
        <v>209</v>
      </c>
      <c r="ES32" t="s">
        <v>50</v>
      </c>
      <c r="ET32" t="s">
        <v>18</v>
      </c>
      <c r="EU32" t="s">
        <v>88</v>
      </c>
      <c r="EV32">
        <v>16</v>
      </c>
      <c r="EW32">
        <v>10</v>
      </c>
      <c r="EX32">
        <v>0.615385</v>
      </c>
      <c r="FA32">
        <v>18</v>
      </c>
      <c r="FC32" t="s">
        <v>300</v>
      </c>
      <c r="FD32" t="s">
        <v>88</v>
      </c>
    </row>
    <row r="33" spans="116:160">
      <c r="DL33" t="s">
        <v>60</v>
      </c>
      <c r="DM33">
        <v>4</v>
      </c>
      <c r="DN33" t="s">
        <v>197</v>
      </c>
      <c r="DO33" t="s">
        <v>49</v>
      </c>
      <c r="DP33" t="s">
        <v>19</v>
      </c>
      <c r="DQ33">
        <v>1</v>
      </c>
      <c r="DR33">
        <v>1</v>
      </c>
      <c r="DS33">
        <v>4</v>
      </c>
      <c r="DT33">
        <v>0.25</v>
      </c>
      <c r="DU33">
        <v>1</v>
      </c>
      <c r="DW33">
        <v>2</v>
      </c>
      <c r="DY33">
        <v>1</v>
      </c>
      <c r="EA33">
        <v>3</v>
      </c>
      <c r="EC33">
        <v>14</v>
      </c>
      <c r="EP33" t="s">
        <v>110</v>
      </c>
      <c r="EQ33">
        <v>18</v>
      </c>
      <c r="ER33" t="s">
        <v>210</v>
      </c>
      <c r="ES33" t="s">
        <v>48</v>
      </c>
      <c r="ET33" t="s">
        <v>19</v>
      </c>
      <c r="EU33" t="s">
        <v>89</v>
      </c>
      <c r="EX33">
        <v>0</v>
      </c>
      <c r="FA33">
        <v>0</v>
      </c>
      <c r="FC33" t="s">
        <v>301</v>
      </c>
      <c r="FD33" t="s">
        <v>89</v>
      </c>
    </row>
    <row r="34" spans="116:160">
      <c r="DL34" t="s">
        <v>62</v>
      </c>
      <c r="DM34">
        <v>4</v>
      </c>
      <c r="DN34" t="s">
        <v>197</v>
      </c>
      <c r="DO34" t="s">
        <v>49</v>
      </c>
      <c r="DP34" t="s">
        <v>19</v>
      </c>
      <c r="DQ34">
        <v>2</v>
      </c>
      <c r="DS34">
        <v>4</v>
      </c>
      <c r="DT34">
        <v>0.5</v>
      </c>
      <c r="EA34">
        <v>2</v>
      </c>
      <c r="EC34">
        <v>8</v>
      </c>
      <c r="EP34" t="s">
        <v>111</v>
      </c>
      <c r="EQ34">
        <v>18</v>
      </c>
      <c r="ER34" t="s">
        <v>210</v>
      </c>
      <c r="ES34" t="s">
        <v>48</v>
      </c>
      <c r="ET34" t="s">
        <v>19</v>
      </c>
      <c r="EU34" t="s">
        <v>88</v>
      </c>
      <c r="EV34">
        <v>7</v>
      </c>
      <c r="EW34">
        <v>8</v>
      </c>
      <c r="EX34">
        <v>0.466667</v>
      </c>
      <c r="FA34">
        <v>-3</v>
      </c>
      <c r="FC34" t="s">
        <v>302</v>
      </c>
      <c r="FD34" t="s">
        <v>88</v>
      </c>
    </row>
    <row r="35" spans="116:160">
      <c r="DL35" t="s">
        <v>69</v>
      </c>
      <c r="DM35">
        <v>4</v>
      </c>
      <c r="DN35" t="s">
        <v>197</v>
      </c>
      <c r="DO35" t="s">
        <v>49</v>
      </c>
      <c r="DP35" t="s">
        <v>19</v>
      </c>
      <c r="DQ35">
        <v>1</v>
      </c>
      <c r="DR35">
        <v>2</v>
      </c>
      <c r="DS35">
        <v>1</v>
      </c>
      <c r="DT35">
        <v>1</v>
      </c>
      <c r="DV35">
        <v>1</v>
      </c>
      <c r="DX35">
        <v>2</v>
      </c>
      <c r="EC35">
        <v>4.5</v>
      </c>
    </row>
    <row r="36" spans="116:160">
      <c r="DL36" t="s">
        <v>65</v>
      </c>
      <c r="DM36">
        <v>4</v>
      </c>
      <c r="DN36" t="s">
        <v>197</v>
      </c>
      <c r="DO36" t="s">
        <v>49</v>
      </c>
      <c r="DP36" t="s">
        <v>19</v>
      </c>
      <c r="DS36">
        <v>3</v>
      </c>
      <c r="DT36">
        <v>0</v>
      </c>
      <c r="DU36">
        <v>2</v>
      </c>
      <c r="EC36">
        <v>5.5</v>
      </c>
    </row>
    <row r="37" spans="116:160">
      <c r="DL37" t="s">
        <v>70</v>
      </c>
      <c r="DM37">
        <v>4</v>
      </c>
      <c r="DN37" t="s">
        <v>197</v>
      </c>
      <c r="DO37" t="s">
        <v>49</v>
      </c>
      <c r="DP37" t="s">
        <v>19</v>
      </c>
      <c r="DS37">
        <v>2</v>
      </c>
      <c r="DT37">
        <v>0</v>
      </c>
      <c r="EB37">
        <v>1</v>
      </c>
      <c r="EC37">
        <v>-1</v>
      </c>
    </row>
    <row r="38" spans="116:160">
      <c r="DL38" t="s">
        <v>66</v>
      </c>
      <c r="DM38">
        <v>4</v>
      </c>
      <c r="DN38" t="s">
        <v>197</v>
      </c>
      <c r="DO38" t="s">
        <v>49</v>
      </c>
      <c r="DP38" t="s">
        <v>19</v>
      </c>
      <c r="DQ38">
        <v>1</v>
      </c>
      <c r="DS38">
        <v>1</v>
      </c>
      <c r="DT38">
        <v>1</v>
      </c>
      <c r="DX38">
        <v>1</v>
      </c>
      <c r="EB38">
        <v>1</v>
      </c>
      <c r="EC38">
        <v>1</v>
      </c>
    </row>
    <row r="39" spans="116:160">
      <c r="DL39" t="s">
        <v>129</v>
      </c>
      <c r="DM39">
        <v>4</v>
      </c>
      <c r="DN39" t="s">
        <v>197</v>
      </c>
      <c r="DO39" t="s">
        <v>49</v>
      </c>
      <c r="DP39" t="s">
        <v>19</v>
      </c>
      <c r="DT39">
        <v>0</v>
      </c>
      <c r="EC39">
        <v>0</v>
      </c>
    </row>
    <row r="40" spans="116:160">
      <c r="DL40" t="s">
        <v>64</v>
      </c>
      <c r="DM40">
        <v>5</v>
      </c>
      <c r="DN40" t="s">
        <v>198</v>
      </c>
      <c r="DO40" t="s">
        <v>47</v>
      </c>
      <c r="DP40" t="s">
        <v>18</v>
      </c>
      <c r="DQ40">
        <v>1</v>
      </c>
      <c r="DS40">
        <v>2</v>
      </c>
      <c r="DT40">
        <v>0.5</v>
      </c>
      <c r="DV40">
        <v>1</v>
      </c>
      <c r="DW40">
        <v>2</v>
      </c>
      <c r="DX40">
        <v>1</v>
      </c>
      <c r="EB40">
        <v>2</v>
      </c>
      <c r="EC40">
        <v>2.5</v>
      </c>
    </row>
    <row r="41" spans="116:160">
      <c r="DL41" t="s">
        <v>61</v>
      </c>
      <c r="DM41">
        <v>5</v>
      </c>
      <c r="DN41" t="s">
        <v>198</v>
      </c>
      <c r="DO41" t="s">
        <v>47</v>
      </c>
      <c r="DP41" t="s">
        <v>18</v>
      </c>
      <c r="DQ41">
        <v>1</v>
      </c>
      <c r="DR41">
        <v>1</v>
      </c>
      <c r="DS41">
        <v>2</v>
      </c>
      <c r="DT41">
        <v>0.5</v>
      </c>
      <c r="DW41">
        <v>1</v>
      </c>
      <c r="DY41">
        <v>1</v>
      </c>
      <c r="EB41">
        <v>1</v>
      </c>
      <c r="EC41">
        <v>12.5</v>
      </c>
    </row>
    <row r="42" spans="116:160">
      <c r="DL42" t="s">
        <v>68</v>
      </c>
      <c r="DM42">
        <v>5</v>
      </c>
      <c r="DN42" t="s">
        <v>198</v>
      </c>
      <c r="DO42" t="s">
        <v>47</v>
      </c>
      <c r="DP42" t="s">
        <v>18</v>
      </c>
      <c r="DR42">
        <v>1</v>
      </c>
      <c r="DS42">
        <v>1</v>
      </c>
      <c r="DT42">
        <v>0</v>
      </c>
      <c r="DV42">
        <v>2</v>
      </c>
      <c r="DZ42">
        <v>1</v>
      </c>
      <c r="EB42">
        <v>2</v>
      </c>
      <c r="EC42">
        <v>-7.5</v>
      </c>
    </row>
    <row r="43" spans="116:160">
      <c r="DL43" t="s">
        <v>59</v>
      </c>
      <c r="DM43">
        <v>5</v>
      </c>
      <c r="DN43" t="s">
        <v>198</v>
      </c>
      <c r="DO43" t="s">
        <v>47</v>
      </c>
      <c r="DP43" t="s">
        <v>18</v>
      </c>
      <c r="DQ43">
        <v>5</v>
      </c>
      <c r="DS43">
        <v>10</v>
      </c>
      <c r="DT43">
        <v>0.5</v>
      </c>
      <c r="DV43">
        <v>3</v>
      </c>
      <c r="DW43">
        <v>1</v>
      </c>
      <c r="EB43">
        <v>3</v>
      </c>
      <c r="EC43">
        <v>20.5</v>
      </c>
    </row>
    <row r="44" spans="116:160">
      <c r="DL44" t="s">
        <v>71</v>
      </c>
      <c r="DM44">
        <v>5</v>
      </c>
      <c r="DN44" t="s">
        <v>198</v>
      </c>
      <c r="DO44" t="s">
        <v>47</v>
      </c>
      <c r="DP44" t="s">
        <v>18</v>
      </c>
      <c r="DS44">
        <v>1</v>
      </c>
      <c r="DT44">
        <v>0</v>
      </c>
      <c r="DV44">
        <v>1</v>
      </c>
      <c r="DX44">
        <v>1</v>
      </c>
      <c r="EB44">
        <v>1</v>
      </c>
      <c r="EC44">
        <v>-6</v>
      </c>
    </row>
    <row r="45" spans="116:160">
      <c r="DL45" t="s">
        <v>63</v>
      </c>
      <c r="DM45">
        <v>5</v>
      </c>
      <c r="DN45" t="s">
        <v>198</v>
      </c>
      <c r="DO45" t="s">
        <v>47</v>
      </c>
      <c r="DP45" t="s">
        <v>18</v>
      </c>
      <c r="DR45">
        <v>1</v>
      </c>
      <c r="DS45">
        <v>1</v>
      </c>
      <c r="DT45">
        <v>0</v>
      </c>
      <c r="DV45">
        <v>1</v>
      </c>
      <c r="DW45">
        <v>2</v>
      </c>
      <c r="DX45">
        <v>2</v>
      </c>
      <c r="EB45">
        <v>1</v>
      </c>
      <c r="EC45">
        <v>-0.5</v>
      </c>
    </row>
    <row r="46" spans="116:160">
      <c r="DL46" t="s">
        <v>60</v>
      </c>
      <c r="DM46">
        <v>5</v>
      </c>
      <c r="DN46" t="s">
        <v>198</v>
      </c>
      <c r="DO46" t="s">
        <v>47</v>
      </c>
      <c r="DP46" t="s">
        <v>18</v>
      </c>
      <c r="DQ46">
        <v>2</v>
      </c>
      <c r="DR46">
        <v>2</v>
      </c>
      <c r="DS46">
        <v>5</v>
      </c>
      <c r="DT46">
        <v>0.4</v>
      </c>
      <c r="DW46">
        <v>1</v>
      </c>
      <c r="DX46">
        <v>2</v>
      </c>
      <c r="EA46">
        <v>1</v>
      </c>
      <c r="EC46">
        <v>14</v>
      </c>
    </row>
    <row r="47" spans="116:160">
      <c r="DL47" t="s">
        <v>62</v>
      </c>
      <c r="DM47">
        <v>5</v>
      </c>
      <c r="DN47" t="s">
        <v>198</v>
      </c>
      <c r="DO47" t="s">
        <v>47</v>
      </c>
      <c r="DP47" t="s">
        <v>18</v>
      </c>
      <c r="DQ47">
        <v>1</v>
      </c>
      <c r="DS47">
        <v>3</v>
      </c>
      <c r="DT47">
        <v>0.333333</v>
      </c>
      <c r="DV47">
        <v>2</v>
      </c>
      <c r="DW47">
        <v>7</v>
      </c>
      <c r="EA47">
        <v>1</v>
      </c>
      <c r="EB47">
        <v>1</v>
      </c>
      <c r="EC47">
        <v>16</v>
      </c>
    </row>
    <row r="48" spans="116:160">
      <c r="DL48" t="s">
        <v>69</v>
      </c>
      <c r="DM48">
        <v>5</v>
      </c>
      <c r="DN48" t="s">
        <v>198</v>
      </c>
      <c r="DO48" t="s">
        <v>47</v>
      </c>
      <c r="DP48" t="s">
        <v>18</v>
      </c>
      <c r="DT48">
        <v>0</v>
      </c>
      <c r="DV48">
        <v>1</v>
      </c>
      <c r="DX48">
        <v>1</v>
      </c>
      <c r="EB48">
        <v>1</v>
      </c>
      <c r="EC48">
        <v>-6.5</v>
      </c>
    </row>
    <row r="49" spans="116:133">
      <c r="DL49" t="s">
        <v>65</v>
      </c>
      <c r="DM49">
        <v>5</v>
      </c>
      <c r="DN49" t="s">
        <v>198</v>
      </c>
      <c r="DO49" t="s">
        <v>47</v>
      </c>
      <c r="DP49" t="s">
        <v>18</v>
      </c>
      <c r="DQ49">
        <v>1</v>
      </c>
      <c r="DS49">
        <v>3</v>
      </c>
      <c r="DT49">
        <v>0.333333</v>
      </c>
      <c r="DU49">
        <v>1</v>
      </c>
      <c r="DV49">
        <v>1</v>
      </c>
      <c r="EB49">
        <v>1</v>
      </c>
      <c r="EC49">
        <v>4.5</v>
      </c>
    </row>
    <row r="50" spans="116:133">
      <c r="DL50" t="s">
        <v>70</v>
      </c>
      <c r="DM50">
        <v>5</v>
      </c>
      <c r="DN50" t="s">
        <v>198</v>
      </c>
      <c r="DO50" t="s">
        <v>47</v>
      </c>
      <c r="DP50" t="s">
        <v>18</v>
      </c>
      <c r="DR50">
        <v>3</v>
      </c>
      <c r="DS50">
        <v>2</v>
      </c>
      <c r="DT50">
        <v>0</v>
      </c>
      <c r="DW50">
        <v>1</v>
      </c>
      <c r="EA50">
        <v>1</v>
      </c>
      <c r="EC50">
        <v>10.5</v>
      </c>
    </row>
    <row r="51" spans="116:133">
      <c r="DL51" t="s">
        <v>66</v>
      </c>
      <c r="DM51">
        <v>5</v>
      </c>
      <c r="DN51" t="s">
        <v>198</v>
      </c>
      <c r="DO51" t="s">
        <v>47</v>
      </c>
      <c r="DP51" t="s">
        <v>18</v>
      </c>
      <c r="DS51">
        <v>1</v>
      </c>
      <c r="DT51">
        <v>0</v>
      </c>
      <c r="DU51">
        <v>1</v>
      </c>
      <c r="EC51">
        <v>2.5</v>
      </c>
    </row>
    <row r="52" spans="116:133">
      <c r="DL52" t="s">
        <v>129</v>
      </c>
      <c r="DM52">
        <v>5</v>
      </c>
      <c r="DN52" t="s">
        <v>198</v>
      </c>
      <c r="DO52" t="s">
        <v>47</v>
      </c>
      <c r="DP52" t="s">
        <v>18</v>
      </c>
      <c r="DT52">
        <v>0</v>
      </c>
      <c r="EC52">
        <v>0</v>
      </c>
    </row>
    <row r="53" spans="116:133">
      <c r="DL53" t="s">
        <v>64</v>
      </c>
      <c r="DM53">
        <v>6</v>
      </c>
      <c r="DN53" t="s">
        <v>199</v>
      </c>
      <c r="DO53" t="s">
        <v>44</v>
      </c>
      <c r="DP53" t="s">
        <v>19</v>
      </c>
      <c r="DT53">
        <v>0</v>
      </c>
      <c r="DV53">
        <v>2</v>
      </c>
      <c r="DW53">
        <v>1</v>
      </c>
      <c r="DX53">
        <v>3</v>
      </c>
      <c r="EB53">
        <v>1</v>
      </c>
      <c r="EC53">
        <v>-11</v>
      </c>
    </row>
    <row r="54" spans="116:133">
      <c r="DL54" t="s">
        <v>61</v>
      </c>
      <c r="DM54">
        <v>6</v>
      </c>
      <c r="DN54" t="s">
        <v>199</v>
      </c>
      <c r="DO54" t="s">
        <v>44</v>
      </c>
      <c r="DP54" t="s">
        <v>19</v>
      </c>
      <c r="DR54">
        <v>2</v>
      </c>
      <c r="DS54">
        <v>3</v>
      </c>
      <c r="DT54">
        <v>0</v>
      </c>
      <c r="DU54">
        <v>1</v>
      </c>
      <c r="DW54">
        <v>3</v>
      </c>
      <c r="EA54">
        <v>1</v>
      </c>
      <c r="EB54">
        <v>2</v>
      </c>
      <c r="EC54">
        <v>11</v>
      </c>
    </row>
    <row r="55" spans="116:133">
      <c r="DL55" t="s">
        <v>68</v>
      </c>
      <c r="DM55">
        <v>6</v>
      </c>
      <c r="DN55" t="s">
        <v>199</v>
      </c>
      <c r="DO55" t="s">
        <v>44</v>
      </c>
      <c r="DP55" t="s">
        <v>19</v>
      </c>
      <c r="DT55">
        <v>0</v>
      </c>
      <c r="DV55">
        <v>2</v>
      </c>
      <c r="EA55">
        <v>1</v>
      </c>
      <c r="EC55">
        <v>-6</v>
      </c>
    </row>
    <row r="56" spans="116:133">
      <c r="DL56" t="s">
        <v>59</v>
      </c>
      <c r="DM56">
        <v>6</v>
      </c>
      <c r="DN56" t="s">
        <v>199</v>
      </c>
      <c r="DO56" t="s">
        <v>44</v>
      </c>
      <c r="DP56" t="s">
        <v>19</v>
      </c>
      <c r="DQ56">
        <v>4</v>
      </c>
      <c r="DS56">
        <v>7</v>
      </c>
      <c r="DT56">
        <v>0.571429</v>
      </c>
      <c r="DU56">
        <v>1</v>
      </c>
      <c r="DV56">
        <v>3</v>
      </c>
      <c r="DX56">
        <v>1</v>
      </c>
      <c r="EB56">
        <v>3</v>
      </c>
      <c r="EC56">
        <v>11</v>
      </c>
    </row>
    <row r="57" spans="116:133">
      <c r="DL57" t="s">
        <v>60</v>
      </c>
      <c r="DM57">
        <v>6</v>
      </c>
      <c r="DN57" t="s">
        <v>199</v>
      </c>
      <c r="DO57" t="s">
        <v>44</v>
      </c>
      <c r="DP57" t="s">
        <v>19</v>
      </c>
      <c r="DQ57">
        <v>1</v>
      </c>
      <c r="DR57">
        <v>1</v>
      </c>
      <c r="DS57">
        <v>8</v>
      </c>
      <c r="DT57">
        <v>0.125</v>
      </c>
      <c r="DV57">
        <v>2</v>
      </c>
      <c r="DW57">
        <v>1</v>
      </c>
      <c r="DX57">
        <v>2</v>
      </c>
      <c r="EB57">
        <v>2</v>
      </c>
      <c r="EC57">
        <v>1.5</v>
      </c>
    </row>
    <row r="58" spans="116:133">
      <c r="DL58" t="s">
        <v>62</v>
      </c>
      <c r="DM58">
        <v>6</v>
      </c>
      <c r="DN58" t="s">
        <v>199</v>
      </c>
      <c r="DO58" t="s">
        <v>44</v>
      </c>
      <c r="DP58" t="s">
        <v>19</v>
      </c>
      <c r="DQ58">
        <v>1</v>
      </c>
      <c r="DS58">
        <v>3</v>
      </c>
      <c r="DT58">
        <v>0.333333</v>
      </c>
      <c r="DU58">
        <v>1</v>
      </c>
      <c r="DV58">
        <v>3</v>
      </c>
      <c r="DW58">
        <v>3</v>
      </c>
      <c r="DX58">
        <v>1</v>
      </c>
      <c r="DY58">
        <v>2</v>
      </c>
      <c r="EB58">
        <v>1</v>
      </c>
      <c r="EC58">
        <v>11.5</v>
      </c>
    </row>
    <row r="59" spans="116:133">
      <c r="DL59" t="s">
        <v>69</v>
      </c>
      <c r="DM59">
        <v>6</v>
      </c>
      <c r="DN59" t="s">
        <v>199</v>
      </c>
      <c r="DO59" t="s">
        <v>44</v>
      </c>
      <c r="DP59" t="s">
        <v>19</v>
      </c>
      <c r="DR59">
        <v>1</v>
      </c>
      <c r="DT59">
        <v>0</v>
      </c>
      <c r="DV59">
        <v>2</v>
      </c>
      <c r="DX59">
        <v>1</v>
      </c>
      <c r="DZ59">
        <v>1</v>
      </c>
      <c r="EC59">
        <v>-6.5</v>
      </c>
    </row>
    <row r="60" spans="116:133">
      <c r="DL60" t="s">
        <v>65</v>
      </c>
      <c r="DM60">
        <v>6</v>
      </c>
      <c r="DN60" t="s">
        <v>199</v>
      </c>
      <c r="DO60" t="s">
        <v>44</v>
      </c>
      <c r="DP60" t="s">
        <v>19</v>
      </c>
      <c r="DQ60">
        <v>1</v>
      </c>
      <c r="DS60">
        <v>4</v>
      </c>
      <c r="DT60">
        <v>0.25</v>
      </c>
      <c r="DU60">
        <v>1</v>
      </c>
      <c r="DV60">
        <v>2</v>
      </c>
      <c r="DW60">
        <v>1</v>
      </c>
      <c r="DX60">
        <v>1</v>
      </c>
      <c r="DY60">
        <v>1</v>
      </c>
      <c r="EB60">
        <v>1</v>
      </c>
      <c r="EC60">
        <v>6</v>
      </c>
    </row>
    <row r="61" spans="116:133">
      <c r="DL61" t="s">
        <v>70</v>
      </c>
      <c r="DM61">
        <v>6</v>
      </c>
      <c r="DN61" t="s">
        <v>199</v>
      </c>
      <c r="DO61" t="s">
        <v>44</v>
      </c>
      <c r="DP61" t="s">
        <v>19</v>
      </c>
      <c r="DT61">
        <v>0</v>
      </c>
      <c r="DX61">
        <v>2</v>
      </c>
      <c r="EB61">
        <v>1</v>
      </c>
      <c r="EC61">
        <v>-7</v>
      </c>
    </row>
    <row r="62" spans="116:133">
      <c r="DL62" t="s">
        <v>66</v>
      </c>
      <c r="DM62">
        <v>6</v>
      </c>
      <c r="DN62" t="s">
        <v>199</v>
      </c>
      <c r="DO62" t="s">
        <v>44</v>
      </c>
      <c r="DP62" t="s">
        <v>19</v>
      </c>
      <c r="DS62">
        <v>3</v>
      </c>
      <c r="DT62">
        <v>0</v>
      </c>
      <c r="DV62">
        <v>1</v>
      </c>
      <c r="DX62">
        <v>1</v>
      </c>
      <c r="EB62">
        <v>1</v>
      </c>
      <c r="EC62">
        <v>-5</v>
      </c>
    </row>
    <row r="63" spans="116:133">
      <c r="DL63" t="s">
        <v>129</v>
      </c>
      <c r="DM63">
        <v>6</v>
      </c>
      <c r="DN63" t="s">
        <v>199</v>
      </c>
      <c r="DO63" t="s">
        <v>44</v>
      </c>
      <c r="DP63" t="s">
        <v>19</v>
      </c>
      <c r="DT63">
        <v>0</v>
      </c>
      <c r="EB63">
        <v>1</v>
      </c>
      <c r="EC63">
        <v>-2</v>
      </c>
    </row>
    <row r="64" spans="116:133">
      <c r="DL64" t="s">
        <v>64</v>
      </c>
      <c r="DM64">
        <v>7</v>
      </c>
      <c r="DN64" t="s">
        <v>200</v>
      </c>
      <c r="DO64" t="s">
        <v>45</v>
      </c>
      <c r="DP64" t="s">
        <v>18</v>
      </c>
      <c r="DQ64">
        <v>1</v>
      </c>
      <c r="DS64">
        <v>2</v>
      </c>
      <c r="DT64">
        <v>0.5</v>
      </c>
      <c r="DU64">
        <v>1</v>
      </c>
      <c r="DV64">
        <v>1</v>
      </c>
      <c r="DW64">
        <v>5</v>
      </c>
      <c r="DX64">
        <v>3</v>
      </c>
      <c r="DY64">
        <v>3</v>
      </c>
      <c r="EB64">
        <v>1</v>
      </c>
      <c r="EC64">
        <v>18</v>
      </c>
    </row>
    <row r="65" spans="116:133">
      <c r="DL65" t="s">
        <v>61</v>
      </c>
      <c r="DM65">
        <v>7</v>
      </c>
      <c r="DN65" t="s">
        <v>200</v>
      </c>
      <c r="DO65" t="s">
        <v>45</v>
      </c>
      <c r="DP65" t="s">
        <v>18</v>
      </c>
      <c r="DQ65">
        <v>1</v>
      </c>
      <c r="DS65">
        <v>3</v>
      </c>
      <c r="DT65">
        <v>0.333333</v>
      </c>
      <c r="DU65">
        <v>1</v>
      </c>
      <c r="DX65">
        <v>2</v>
      </c>
      <c r="EA65">
        <v>1</v>
      </c>
      <c r="EB65">
        <v>3</v>
      </c>
      <c r="EC65">
        <v>-4.5</v>
      </c>
    </row>
    <row r="66" spans="116:133">
      <c r="DL66" t="s">
        <v>68</v>
      </c>
      <c r="DM66">
        <v>7</v>
      </c>
      <c r="DN66" t="s">
        <v>200</v>
      </c>
      <c r="DO66" t="s">
        <v>45</v>
      </c>
      <c r="DP66" t="s">
        <v>18</v>
      </c>
      <c r="DQ66">
        <v>1</v>
      </c>
      <c r="DR66">
        <v>1</v>
      </c>
      <c r="DS66">
        <v>2</v>
      </c>
      <c r="DT66">
        <v>0.5</v>
      </c>
      <c r="DU66">
        <v>1</v>
      </c>
      <c r="DV66">
        <v>2</v>
      </c>
      <c r="DW66">
        <v>1</v>
      </c>
      <c r="DY66">
        <v>1</v>
      </c>
      <c r="EA66">
        <v>1</v>
      </c>
      <c r="EB66">
        <v>1</v>
      </c>
      <c r="EC66">
        <v>8.5</v>
      </c>
    </row>
    <row r="67" spans="116:133">
      <c r="DL67" t="s">
        <v>59</v>
      </c>
      <c r="DM67">
        <v>7</v>
      </c>
      <c r="DN67" t="s">
        <v>200</v>
      </c>
      <c r="DO67" t="s">
        <v>45</v>
      </c>
      <c r="DP67" t="s">
        <v>18</v>
      </c>
      <c r="DQ67">
        <v>2</v>
      </c>
      <c r="DR67">
        <v>1</v>
      </c>
      <c r="DS67">
        <v>7</v>
      </c>
      <c r="DT67">
        <v>0.285714</v>
      </c>
      <c r="DV67">
        <v>2</v>
      </c>
      <c r="DW67">
        <v>1</v>
      </c>
      <c r="DX67">
        <v>2</v>
      </c>
      <c r="EA67">
        <v>2</v>
      </c>
      <c r="EB67">
        <v>2</v>
      </c>
      <c r="EC67">
        <v>2</v>
      </c>
    </row>
    <row r="68" spans="116:133">
      <c r="DL68" t="s">
        <v>63</v>
      </c>
      <c r="DM68">
        <v>7</v>
      </c>
      <c r="DN68" t="s">
        <v>200</v>
      </c>
      <c r="DO68" t="s">
        <v>45</v>
      </c>
      <c r="DP68" t="s">
        <v>18</v>
      </c>
      <c r="DR68">
        <v>1</v>
      </c>
      <c r="DS68">
        <v>1</v>
      </c>
      <c r="DT68">
        <v>0</v>
      </c>
      <c r="EA68">
        <v>1</v>
      </c>
      <c r="EB68">
        <v>2</v>
      </c>
      <c r="EC68">
        <v>-2.5</v>
      </c>
    </row>
    <row r="69" spans="116:133">
      <c r="DL69" t="s">
        <v>60</v>
      </c>
      <c r="DM69">
        <v>7</v>
      </c>
      <c r="DN69" t="s">
        <v>200</v>
      </c>
      <c r="DO69" t="s">
        <v>45</v>
      </c>
      <c r="DP69" t="s">
        <v>18</v>
      </c>
      <c r="DQ69">
        <v>3</v>
      </c>
      <c r="DS69">
        <v>6</v>
      </c>
      <c r="DT69">
        <v>0.5</v>
      </c>
      <c r="DU69">
        <v>2</v>
      </c>
      <c r="DV69">
        <v>1</v>
      </c>
      <c r="DW69">
        <v>1</v>
      </c>
      <c r="DX69">
        <v>1</v>
      </c>
      <c r="EB69">
        <v>2</v>
      </c>
      <c r="EC69">
        <v>16</v>
      </c>
    </row>
    <row r="70" spans="116:133">
      <c r="DL70" t="s">
        <v>62</v>
      </c>
      <c r="DM70">
        <v>7</v>
      </c>
      <c r="DN70" t="s">
        <v>200</v>
      </c>
      <c r="DO70" t="s">
        <v>45</v>
      </c>
      <c r="DP70" t="s">
        <v>18</v>
      </c>
      <c r="DS70">
        <v>1</v>
      </c>
      <c r="DT70">
        <v>0</v>
      </c>
      <c r="DV70">
        <v>1</v>
      </c>
      <c r="EB70">
        <v>1</v>
      </c>
      <c r="EC70">
        <v>-3.5</v>
      </c>
    </row>
    <row r="71" spans="116:133">
      <c r="DL71" t="s">
        <v>69</v>
      </c>
      <c r="DM71">
        <v>7</v>
      </c>
      <c r="DN71" t="s">
        <v>200</v>
      </c>
      <c r="DO71" t="s">
        <v>45</v>
      </c>
      <c r="DP71" t="s">
        <v>18</v>
      </c>
      <c r="DR71">
        <v>2</v>
      </c>
      <c r="DS71">
        <v>1</v>
      </c>
      <c r="DT71">
        <v>0</v>
      </c>
      <c r="DV71">
        <v>1</v>
      </c>
      <c r="DW71">
        <v>1</v>
      </c>
      <c r="EB71">
        <v>2</v>
      </c>
      <c r="EC71">
        <v>3</v>
      </c>
    </row>
    <row r="72" spans="116:133">
      <c r="DL72" t="s">
        <v>65</v>
      </c>
      <c r="DM72">
        <v>7</v>
      </c>
      <c r="DN72" t="s">
        <v>200</v>
      </c>
      <c r="DO72" t="s">
        <v>45</v>
      </c>
      <c r="DP72" t="s">
        <v>18</v>
      </c>
      <c r="DQ72">
        <v>1</v>
      </c>
      <c r="DS72">
        <v>7</v>
      </c>
      <c r="DT72">
        <v>0.142857</v>
      </c>
      <c r="DU72">
        <v>1</v>
      </c>
      <c r="DV72">
        <v>1</v>
      </c>
      <c r="DY72">
        <v>2</v>
      </c>
      <c r="EB72">
        <v>1</v>
      </c>
      <c r="EC72">
        <v>12.5</v>
      </c>
    </row>
    <row r="73" spans="116:133">
      <c r="DL73" t="s">
        <v>70</v>
      </c>
      <c r="DM73">
        <v>7</v>
      </c>
      <c r="DN73" t="s">
        <v>200</v>
      </c>
      <c r="DO73" t="s">
        <v>45</v>
      </c>
      <c r="DP73" t="s">
        <v>18</v>
      </c>
      <c r="DR73">
        <v>1</v>
      </c>
      <c r="DT73">
        <v>0</v>
      </c>
      <c r="DU73">
        <v>1</v>
      </c>
      <c r="DY73">
        <v>1</v>
      </c>
      <c r="EC73">
        <v>8</v>
      </c>
    </row>
    <row r="74" spans="116:133">
      <c r="DL74" t="s">
        <v>66</v>
      </c>
      <c r="DM74">
        <v>7</v>
      </c>
      <c r="DN74" t="s">
        <v>200</v>
      </c>
      <c r="DO74" t="s">
        <v>45</v>
      </c>
      <c r="DP74" t="s">
        <v>18</v>
      </c>
      <c r="DQ74">
        <v>1</v>
      </c>
      <c r="DS74">
        <v>3</v>
      </c>
      <c r="DT74">
        <v>0.333333</v>
      </c>
      <c r="DV74">
        <v>1</v>
      </c>
      <c r="EB74">
        <v>2</v>
      </c>
      <c r="EC74">
        <v>0.5</v>
      </c>
    </row>
    <row r="75" spans="116:133">
      <c r="DL75" t="s">
        <v>129</v>
      </c>
      <c r="DM75">
        <v>7</v>
      </c>
      <c r="DN75" t="s">
        <v>200</v>
      </c>
      <c r="DO75" t="s">
        <v>45</v>
      </c>
      <c r="DP75" t="s">
        <v>18</v>
      </c>
      <c r="DT75">
        <v>0</v>
      </c>
      <c r="EC75">
        <v>0</v>
      </c>
    </row>
    <row r="76" spans="116:133">
      <c r="DL76" t="s">
        <v>64</v>
      </c>
      <c r="DM76">
        <v>8</v>
      </c>
      <c r="DN76" t="s">
        <v>201</v>
      </c>
      <c r="DO76" t="s">
        <v>50</v>
      </c>
      <c r="DP76" t="s">
        <v>19</v>
      </c>
      <c r="DQ76">
        <v>2</v>
      </c>
      <c r="DS76">
        <v>5</v>
      </c>
      <c r="DT76">
        <v>0.4</v>
      </c>
      <c r="DU76">
        <v>1</v>
      </c>
      <c r="DV76">
        <v>1</v>
      </c>
      <c r="DW76">
        <v>2</v>
      </c>
      <c r="DX76">
        <v>2</v>
      </c>
      <c r="EA76">
        <v>1</v>
      </c>
      <c r="EB76">
        <v>2</v>
      </c>
      <c r="EC76">
        <v>6.5</v>
      </c>
    </row>
    <row r="77" spans="116:133">
      <c r="DL77" t="s">
        <v>61</v>
      </c>
      <c r="DM77">
        <v>8</v>
      </c>
      <c r="DN77" t="s">
        <v>201</v>
      </c>
      <c r="DO77" t="s">
        <v>50</v>
      </c>
      <c r="DP77" t="s">
        <v>19</v>
      </c>
      <c r="DR77">
        <v>2</v>
      </c>
      <c r="DS77">
        <v>3</v>
      </c>
      <c r="DT77">
        <v>0</v>
      </c>
      <c r="DU77">
        <v>1</v>
      </c>
      <c r="DV77">
        <v>1</v>
      </c>
      <c r="DW77">
        <v>7</v>
      </c>
      <c r="DX77">
        <v>1</v>
      </c>
      <c r="EB77">
        <v>1</v>
      </c>
      <c r="EC77">
        <v>20.5</v>
      </c>
    </row>
    <row r="78" spans="116:133">
      <c r="DL78" t="s">
        <v>68</v>
      </c>
      <c r="DM78">
        <v>8</v>
      </c>
      <c r="DN78" t="s">
        <v>201</v>
      </c>
      <c r="DO78" t="s">
        <v>50</v>
      </c>
      <c r="DP78" t="s">
        <v>19</v>
      </c>
      <c r="DQ78">
        <v>2</v>
      </c>
      <c r="DR78">
        <v>3</v>
      </c>
      <c r="DS78">
        <v>3</v>
      </c>
      <c r="DT78">
        <v>0.666667</v>
      </c>
      <c r="DU78">
        <v>1</v>
      </c>
      <c r="DV78">
        <v>1</v>
      </c>
      <c r="DX78">
        <v>2</v>
      </c>
      <c r="EC78">
        <v>15.5</v>
      </c>
    </row>
    <row r="79" spans="116:133">
      <c r="DL79" t="s">
        <v>59</v>
      </c>
      <c r="DM79">
        <v>8</v>
      </c>
      <c r="DN79" t="s">
        <v>201</v>
      </c>
      <c r="DO79" t="s">
        <v>50</v>
      </c>
      <c r="DP79" t="s">
        <v>19</v>
      </c>
      <c r="DQ79">
        <v>2</v>
      </c>
      <c r="DS79">
        <v>8</v>
      </c>
      <c r="DT79">
        <v>0.25</v>
      </c>
      <c r="DU79">
        <v>1</v>
      </c>
      <c r="EA79">
        <v>1</v>
      </c>
      <c r="EB79">
        <v>2</v>
      </c>
      <c r="EC79">
        <v>10</v>
      </c>
    </row>
    <row r="80" spans="116:133">
      <c r="DL80" t="s">
        <v>71</v>
      </c>
      <c r="DM80">
        <v>8</v>
      </c>
      <c r="DN80" t="s">
        <v>201</v>
      </c>
      <c r="DO80" t="s">
        <v>50</v>
      </c>
      <c r="DP80" t="s">
        <v>19</v>
      </c>
      <c r="DQ80">
        <v>2</v>
      </c>
      <c r="DR80">
        <v>3</v>
      </c>
      <c r="DS80">
        <v>3</v>
      </c>
      <c r="DT80">
        <v>0.666667</v>
      </c>
      <c r="DV80">
        <v>1</v>
      </c>
      <c r="EC80">
        <v>18.5</v>
      </c>
    </row>
    <row r="81" spans="116:133">
      <c r="DL81" t="s">
        <v>63</v>
      </c>
      <c r="DM81">
        <v>8</v>
      </c>
      <c r="DN81" t="s">
        <v>201</v>
      </c>
      <c r="DO81" t="s">
        <v>50</v>
      </c>
      <c r="DP81" t="s">
        <v>19</v>
      </c>
      <c r="DQ81">
        <v>2</v>
      </c>
      <c r="DR81">
        <v>2</v>
      </c>
      <c r="DS81">
        <v>4</v>
      </c>
      <c r="DT81">
        <v>0.5</v>
      </c>
      <c r="DU81">
        <v>1</v>
      </c>
      <c r="DV81">
        <v>1</v>
      </c>
      <c r="EA81">
        <v>1</v>
      </c>
      <c r="EC81">
        <v>16</v>
      </c>
    </row>
    <row r="82" spans="116:133">
      <c r="DL82" t="s">
        <v>60</v>
      </c>
      <c r="DM82">
        <v>8</v>
      </c>
      <c r="DN82" t="s">
        <v>201</v>
      </c>
      <c r="DO82" t="s">
        <v>50</v>
      </c>
      <c r="DP82" t="s">
        <v>19</v>
      </c>
      <c r="DR82">
        <v>1</v>
      </c>
      <c r="DS82">
        <v>3</v>
      </c>
      <c r="DT82">
        <v>0</v>
      </c>
      <c r="DU82">
        <v>1</v>
      </c>
      <c r="DV82">
        <v>3</v>
      </c>
      <c r="DW82">
        <v>1</v>
      </c>
      <c r="EA82">
        <v>1</v>
      </c>
      <c r="EB82">
        <v>2</v>
      </c>
      <c r="EC82">
        <v>-3</v>
      </c>
    </row>
    <row r="83" spans="116:133">
      <c r="DL83" t="s">
        <v>62</v>
      </c>
      <c r="DM83">
        <v>8</v>
      </c>
      <c r="DN83" t="s">
        <v>201</v>
      </c>
      <c r="DO83" t="s">
        <v>50</v>
      </c>
      <c r="DP83" t="s">
        <v>19</v>
      </c>
      <c r="DT83">
        <v>0</v>
      </c>
      <c r="DV83">
        <v>1</v>
      </c>
      <c r="EC83">
        <v>-2</v>
      </c>
    </row>
    <row r="84" spans="116:133">
      <c r="DL84" t="s">
        <v>69</v>
      </c>
      <c r="DM84">
        <v>8</v>
      </c>
      <c r="DN84" t="s">
        <v>201</v>
      </c>
      <c r="DO84" t="s">
        <v>50</v>
      </c>
      <c r="DP84" t="s">
        <v>19</v>
      </c>
      <c r="DT84">
        <v>0</v>
      </c>
      <c r="DX84">
        <v>1</v>
      </c>
      <c r="EB84">
        <v>1</v>
      </c>
      <c r="EC84">
        <v>-4.5</v>
      </c>
    </row>
    <row r="85" spans="116:133">
      <c r="DL85" t="s">
        <v>65</v>
      </c>
      <c r="DM85">
        <v>8</v>
      </c>
      <c r="DN85" t="s">
        <v>201</v>
      </c>
      <c r="DO85" t="s">
        <v>50</v>
      </c>
      <c r="DP85" t="s">
        <v>19</v>
      </c>
      <c r="DT85">
        <v>0</v>
      </c>
      <c r="EA85">
        <v>2</v>
      </c>
      <c r="EC85">
        <v>-4</v>
      </c>
    </row>
    <row r="86" spans="116:133">
      <c r="DL86" t="s">
        <v>70</v>
      </c>
      <c r="DM86">
        <v>8</v>
      </c>
      <c r="DN86" t="s">
        <v>201</v>
      </c>
      <c r="DO86" t="s">
        <v>50</v>
      </c>
      <c r="DP86" t="s">
        <v>19</v>
      </c>
      <c r="DS86">
        <v>1</v>
      </c>
      <c r="DT86">
        <v>0</v>
      </c>
      <c r="EB86">
        <v>1</v>
      </c>
      <c r="EC86">
        <v>-1.5</v>
      </c>
    </row>
    <row r="87" spans="116:133">
      <c r="DL87" t="s">
        <v>66</v>
      </c>
      <c r="DM87">
        <v>8</v>
      </c>
      <c r="DN87" t="s">
        <v>201</v>
      </c>
      <c r="DO87" t="s">
        <v>50</v>
      </c>
      <c r="DP87" t="s">
        <v>19</v>
      </c>
      <c r="DQ87">
        <v>2</v>
      </c>
      <c r="DS87">
        <v>3</v>
      </c>
      <c r="DT87">
        <v>0.666667</v>
      </c>
      <c r="EB87">
        <v>1</v>
      </c>
      <c r="EC87">
        <v>9.5</v>
      </c>
    </row>
    <row r="88" spans="116:133">
      <c r="DL88" t="s">
        <v>64</v>
      </c>
      <c r="DM88">
        <v>9</v>
      </c>
      <c r="DN88" t="s">
        <v>202</v>
      </c>
      <c r="DO88" t="s">
        <v>48</v>
      </c>
      <c r="DP88" t="s">
        <v>18</v>
      </c>
      <c r="DQ88">
        <v>2</v>
      </c>
      <c r="DS88">
        <v>6</v>
      </c>
      <c r="DT88">
        <v>0.333333</v>
      </c>
      <c r="DU88">
        <v>1</v>
      </c>
      <c r="DV88">
        <v>2</v>
      </c>
      <c r="DW88">
        <v>1</v>
      </c>
      <c r="EB88">
        <v>1</v>
      </c>
      <c r="EC88">
        <v>11.5</v>
      </c>
    </row>
    <row r="89" spans="116:133">
      <c r="DL89" t="s">
        <v>61</v>
      </c>
      <c r="DM89">
        <v>9</v>
      </c>
      <c r="DN89" t="s">
        <v>202</v>
      </c>
      <c r="DO89" t="s">
        <v>48</v>
      </c>
      <c r="DP89" t="s">
        <v>18</v>
      </c>
      <c r="DQ89">
        <v>2</v>
      </c>
      <c r="DS89">
        <v>4</v>
      </c>
      <c r="DT89">
        <v>0.5</v>
      </c>
      <c r="DW89">
        <v>4</v>
      </c>
      <c r="DX89">
        <v>2</v>
      </c>
      <c r="EB89">
        <v>1</v>
      </c>
      <c r="EC89">
        <v>15</v>
      </c>
    </row>
    <row r="90" spans="116:133">
      <c r="DL90" t="s">
        <v>68</v>
      </c>
      <c r="DM90">
        <v>9</v>
      </c>
      <c r="DN90" t="s">
        <v>202</v>
      </c>
      <c r="DO90" t="s">
        <v>48</v>
      </c>
      <c r="DP90" t="s">
        <v>18</v>
      </c>
      <c r="DS90">
        <v>1</v>
      </c>
      <c r="DT90">
        <v>0</v>
      </c>
      <c r="DV90">
        <v>1</v>
      </c>
      <c r="DZ90">
        <v>1</v>
      </c>
      <c r="EB90">
        <v>1</v>
      </c>
      <c r="EC90">
        <v>-6.5</v>
      </c>
    </row>
    <row r="91" spans="116:133">
      <c r="DL91" t="s">
        <v>59</v>
      </c>
      <c r="DM91">
        <v>9</v>
      </c>
      <c r="DN91" t="s">
        <v>202</v>
      </c>
      <c r="DO91" t="s">
        <v>48</v>
      </c>
      <c r="DP91" t="s">
        <v>18</v>
      </c>
      <c r="DQ91">
        <v>1</v>
      </c>
      <c r="DS91">
        <v>8</v>
      </c>
      <c r="DT91">
        <v>0.125</v>
      </c>
      <c r="DU91">
        <v>1</v>
      </c>
      <c r="EB91">
        <v>1</v>
      </c>
      <c r="EC91">
        <v>9</v>
      </c>
    </row>
    <row r="92" spans="116:133">
      <c r="DL92" t="s">
        <v>71</v>
      </c>
      <c r="DM92">
        <v>9</v>
      </c>
      <c r="DN92" t="s">
        <v>202</v>
      </c>
      <c r="DO92" t="s">
        <v>48</v>
      </c>
      <c r="DP92" t="s">
        <v>18</v>
      </c>
      <c r="DT92">
        <v>0</v>
      </c>
      <c r="DU92">
        <v>1</v>
      </c>
      <c r="DX92">
        <v>1</v>
      </c>
      <c r="EC92">
        <v>-0.5</v>
      </c>
    </row>
    <row r="93" spans="116:133">
      <c r="DL93" t="s">
        <v>63</v>
      </c>
      <c r="DM93">
        <v>9</v>
      </c>
      <c r="DN93" t="s">
        <v>202</v>
      </c>
      <c r="DO93" t="s">
        <v>48</v>
      </c>
      <c r="DP93" t="s">
        <v>18</v>
      </c>
      <c r="DR93">
        <v>2</v>
      </c>
      <c r="DS93">
        <v>4</v>
      </c>
      <c r="DT93">
        <v>0</v>
      </c>
      <c r="DW93">
        <v>1</v>
      </c>
      <c r="DX93">
        <v>1</v>
      </c>
      <c r="DY93">
        <v>1</v>
      </c>
      <c r="EB93">
        <v>2</v>
      </c>
      <c r="EC93">
        <v>7</v>
      </c>
    </row>
    <row r="94" spans="116:133">
      <c r="DL94" t="s">
        <v>60</v>
      </c>
      <c r="DM94">
        <v>9</v>
      </c>
      <c r="DN94" t="s">
        <v>202</v>
      </c>
      <c r="DO94" t="s">
        <v>48</v>
      </c>
      <c r="DP94" t="s">
        <v>18</v>
      </c>
      <c r="DQ94">
        <v>1</v>
      </c>
      <c r="DR94">
        <v>2</v>
      </c>
      <c r="DS94">
        <v>1</v>
      </c>
      <c r="DT94">
        <v>1</v>
      </c>
      <c r="DU94">
        <v>1</v>
      </c>
      <c r="DV94">
        <v>2</v>
      </c>
      <c r="DX94">
        <v>1</v>
      </c>
      <c r="EB94">
        <v>2</v>
      </c>
      <c r="EC94">
        <v>3</v>
      </c>
    </row>
    <row r="95" spans="116:133">
      <c r="DL95" t="s">
        <v>62</v>
      </c>
      <c r="DM95">
        <v>9</v>
      </c>
      <c r="DN95" t="s">
        <v>202</v>
      </c>
      <c r="DO95" t="s">
        <v>48</v>
      </c>
      <c r="DP95" t="s">
        <v>18</v>
      </c>
      <c r="DR95">
        <v>1</v>
      </c>
      <c r="DT95">
        <v>0</v>
      </c>
      <c r="DW95">
        <v>2</v>
      </c>
      <c r="EB95">
        <v>1</v>
      </c>
      <c r="EC95">
        <v>6</v>
      </c>
    </row>
    <row r="96" spans="116:133">
      <c r="DL96" t="s">
        <v>69</v>
      </c>
      <c r="DM96">
        <v>9</v>
      </c>
      <c r="DN96" t="s">
        <v>202</v>
      </c>
      <c r="DO96" t="s">
        <v>48</v>
      </c>
      <c r="DP96" t="s">
        <v>18</v>
      </c>
      <c r="DS96">
        <v>2</v>
      </c>
      <c r="DT96">
        <v>0</v>
      </c>
      <c r="DX96">
        <v>1</v>
      </c>
      <c r="EC96">
        <v>-1.5</v>
      </c>
    </row>
    <row r="97" spans="116:133">
      <c r="DL97" t="s">
        <v>65</v>
      </c>
      <c r="DM97">
        <v>9</v>
      </c>
      <c r="DN97" t="s">
        <v>202</v>
      </c>
      <c r="DO97" t="s">
        <v>48</v>
      </c>
      <c r="DP97" t="s">
        <v>18</v>
      </c>
      <c r="DQ97">
        <v>1</v>
      </c>
      <c r="DS97">
        <v>2</v>
      </c>
      <c r="DT97">
        <v>0.5</v>
      </c>
      <c r="DU97">
        <v>1</v>
      </c>
      <c r="DV97">
        <v>1</v>
      </c>
      <c r="EC97">
        <v>6</v>
      </c>
    </row>
    <row r="98" spans="116:133">
      <c r="DL98" t="s">
        <v>70</v>
      </c>
      <c r="DM98">
        <v>9</v>
      </c>
      <c r="DN98" t="s">
        <v>202</v>
      </c>
      <c r="DO98" t="s">
        <v>48</v>
      </c>
      <c r="DP98" t="s">
        <v>18</v>
      </c>
      <c r="DT98">
        <v>0</v>
      </c>
      <c r="EC98">
        <v>0</v>
      </c>
    </row>
    <row r="99" spans="116:133">
      <c r="DL99" t="s">
        <v>66</v>
      </c>
      <c r="DM99">
        <v>9</v>
      </c>
      <c r="DN99" t="s">
        <v>202</v>
      </c>
      <c r="DO99" t="s">
        <v>48</v>
      </c>
      <c r="DP99" t="s">
        <v>18</v>
      </c>
      <c r="DQ99">
        <v>1</v>
      </c>
      <c r="DR99">
        <v>1</v>
      </c>
      <c r="DS99">
        <v>3</v>
      </c>
      <c r="DT99">
        <v>0.333333</v>
      </c>
      <c r="DU99">
        <v>1</v>
      </c>
      <c r="DX99">
        <v>2</v>
      </c>
      <c r="EB99">
        <v>2</v>
      </c>
      <c r="EC99">
        <v>2.5</v>
      </c>
    </row>
    <row r="100" spans="116:133">
      <c r="DL100" t="s">
        <v>64</v>
      </c>
      <c r="DM100">
        <v>11</v>
      </c>
      <c r="DN100" t="s">
        <v>203</v>
      </c>
      <c r="DO100" t="s">
        <v>51</v>
      </c>
      <c r="DP100" t="s">
        <v>18</v>
      </c>
      <c r="DQ100">
        <v>2</v>
      </c>
      <c r="DS100">
        <v>7</v>
      </c>
      <c r="DT100">
        <v>0.285714</v>
      </c>
      <c r="DV100">
        <v>2</v>
      </c>
      <c r="DW100">
        <v>2</v>
      </c>
      <c r="EA100">
        <v>1</v>
      </c>
      <c r="EB100">
        <v>1</v>
      </c>
      <c r="EC100">
        <v>10.5</v>
      </c>
    </row>
    <row r="101" spans="116:133">
      <c r="DL101" t="s">
        <v>61</v>
      </c>
      <c r="DM101">
        <v>11</v>
      </c>
      <c r="DN101" t="s">
        <v>203</v>
      </c>
      <c r="DO101" t="s">
        <v>51</v>
      </c>
      <c r="DP101" t="s">
        <v>18</v>
      </c>
      <c r="DQ101">
        <v>1</v>
      </c>
      <c r="DR101">
        <v>1</v>
      </c>
      <c r="DS101">
        <v>3</v>
      </c>
      <c r="DT101">
        <v>0.333333</v>
      </c>
      <c r="DU101">
        <v>1</v>
      </c>
      <c r="DV101">
        <v>1</v>
      </c>
      <c r="DW101">
        <v>1</v>
      </c>
      <c r="DX101">
        <v>1</v>
      </c>
      <c r="EB101">
        <v>1</v>
      </c>
      <c r="EC101">
        <v>7.5</v>
      </c>
    </row>
    <row r="102" spans="116:133">
      <c r="DL102" t="s">
        <v>68</v>
      </c>
      <c r="DM102">
        <v>11</v>
      </c>
      <c r="DN102" t="s">
        <v>203</v>
      </c>
      <c r="DO102" t="s">
        <v>51</v>
      </c>
      <c r="DP102" t="s">
        <v>18</v>
      </c>
      <c r="DR102">
        <v>1</v>
      </c>
      <c r="DS102">
        <v>2</v>
      </c>
      <c r="DT102">
        <v>0</v>
      </c>
      <c r="DU102">
        <v>1</v>
      </c>
      <c r="DW102">
        <v>3</v>
      </c>
      <c r="EC102">
        <v>13.5</v>
      </c>
    </row>
    <row r="103" spans="116:133">
      <c r="DL103" t="s">
        <v>59</v>
      </c>
      <c r="DM103">
        <v>11</v>
      </c>
      <c r="DN103" t="s">
        <v>203</v>
      </c>
      <c r="DO103" t="s">
        <v>51</v>
      </c>
      <c r="DP103" t="s">
        <v>18</v>
      </c>
      <c r="DQ103">
        <v>3</v>
      </c>
      <c r="DS103">
        <v>5</v>
      </c>
      <c r="DT103">
        <v>0.6</v>
      </c>
      <c r="DU103">
        <v>3</v>
      </c>
      <c r="DV103">
        <v>3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2</v>
      </c>
      <c r="EC103">
        <v>11.5</v>
      </c>
    </row>
    <row r="104" spans="116:133">
      <c r="DL104" t="s">
        <v>71</v>
      </c>
      <c r="DM104">
        <v>11</v>
      </c>
      <c r="DN104" t="s">
        <v>203</v>
      </c>
      <c r="DO104" t="s">
        <v>51</v>
      </c>
      <c r="DP104" t="s">
        <v>18</v>
      </c>
      <c r="DQ104">
        <v>1</v>
      </c>
      <c r="DR104">
        <v>1</v>
      </c>
      <c r="DS104">
        <v>3</v>
      </c>
      <c r="DT104">
        <v>0.333333</v>
      </c>
      <c r="DV104">
        <v>1</v>
      </c>
      <c r="DW104">
        <v>1</v>
      </c>
      <c r="EC104">
        <v>10</v>
      </c>
    </row>
    <row r="105" spans="116:133">
      <c r="DL105" t="s">
        <v>63</v>
      </c>
      <c r="DM105">
        <v>11</v>
      </c>
      <c r="DN105" t="s">
        <v>203</v>
      </c>
      <c r="DO105" t="s">
        <v>51</v>
      </c>
      <c r="DP105" t="s">
        <v>18</v>
      </c>
      <c r="DQ105">
        <v>1</v>
      </c>
      <c r="DR105">
        <v>3</v>
      </c>
      <c r="DS105">
        <v>3</v>
      </c>
      <c r="DT105">
        <v>0.333333</v>
      </c>
      <c r="DX105">
        <v>1</v>
      </c>
      <c r="EB105">
        <v>1</v>
      </c>
      <c r="EC105">
        <v>11</v>
      </c>
    </row>
    <row r="106" spans="116:133">
      <c r="DL106" t="s">
        <v>60</v>
      </c>
      <c r="DM106">
        <v>11</v>
      </c>
      <c r="DN106" t="s">
        <v>203</v>
      </c>
      <c r="DO106" t="s">
        <v>51</v>
      </c>
      <c r="DP106" t="s">
        <v>18</v>
      </c>
      <c r="DR106">
        <v>2</v>
      </c>
      <c r="DS106">
        <v>1</v>
      </c>
      <c r="DT106">
        <v>0</v>
      </c>
      <c r="DU106">
        <v>1</v>
      </c>
      <c r="DW106">
        <v>2</v>
      </c>
      <c r="DX106">
        <v>1</v>
      </c>
      <c r="EB106">
        <v>1</v>
      </c>
      <c r="EC106">
        <v>9</v>
      </c>
    </row>
    <row r="107" spans="116:133">
      <c r="DL107" t="s">
        <v>62</v>
      </c>
      <c r="DM107">
        <v>11</v>
      </c>
      <c r="DN107" t="s">
        <v>203</v>
      </c>
      <c r="DO107" t="s">
        <v>51</v>
      </c>
      <c r="DP107" t="s">
        <v>18</v>
      </c>
      <c r="DQ107">
        <v>2</v>
      </c>
      <c r="DS107">
        <v>2</v>
      </c>
      <c r="DT107">
        <v>1</v>
      </c>
      <c r="DW107">
        <v>1</v>
      </c>
      <c r="EC107">
        <v>13.5</v>
      </c>
    </row>
    <row r="108" spans="116:133">
      <c r="DL108" t="s">
        <v>69</v>
      </c>
      <c r="DM108">
        <v>11</v>
      </c>
      <c r="DN108" t="s">
        <v>203</v>
      </c>
      <c r="DO108" t="s">
        <v>51</v>
      </c>
      <c r="DP108" t="s">
        <v>18</v>
      </c>
      <c r="DQ108">
        <v>2</v>
      </c>
      <c r="DS108">
        <v>2</v>
      </c>
      <c r="DT108">
        <v>1</v>
      </c>
      <c r="DU108">
        <v>1</v>
      </c>
      <c r="DV108">
        <v>1</v>
      </c>
      <c r="EC108">
        <v>11</v>
      </c>
    </row>
    <row r="109" spans="116:133">
      <c r="DL109" t="s">
        <v>65</v>
      </c>
      <c r="DM109">
        <v>11</v>
      </c>
      <c r="DN109" t="s">
        <v>203</v>
      </c>
      <c r="DO109" t="s">
        <v>51</v>
      </c>
      <c r="DP109" t="s">
        <v>18</v>
      </c>
      <c r="DQ109">
        <v>2</v>
      </c>
      <c r="DR109">
        <v>1</v>
      </c>
      <c r="DS109">
        <v>3</v>
      </c>
      <c r="DT109">
        <v>0.666667</v>
      </c>
      <c r="DU109">
        <v>2</v>
      </c>
      <c r="DW109">
        <v>1</v>
      </c>
      <c r="EA109">
        <v>1</v>
      </c>
      <c r="EC109">
        <v>19</v>
      </c>
    </row>
    <row r="110" spans="116:133">
      <c r="DL110" t="s">
        <v>70</v>
      </c>
      <c r="DM110">
        <v>11</v>
      </c>
      <c r="DN110" t="s">
        <v>203</v>
      </c>
      <c r="DO110" t="s">
        <v>51</v>
      </c>
      <c r="DP110" t="s">
        <v>18</v>
      </c>
      <c r="DR110">
        <v>1</v>
      </c>
      <c r="DT110">
        <v>0</v>
      </c>
      <c r="DV110">
        <v>1</v>
      </c>
      <c r="DX110">
        <v>1</v>
      </c>
      <c r="EC110">
        <v>-1.5</v>
      </c>
    </row>
    <row r="111" spans="116:133">
      <c r="DL111" t="s">
        <v>66</v>
      </c>
      <c r="DM111">
        <v>11</v>
      </c>
      <c r="DN111" t="s">
        <v>203</v>
      </c>
      <c r="DO111" t="s">
        <v>51</v>
      </c>
      <c r="DP111" t="s">
        <v>18</v>
      </c>
      <c r="DQ111">
        <v>2</v>
      </c>
      <c r="DS111">
        <v>3</v>
      </c>
      <c r="DT111">
        <v>0.666667</v>
      </c>
      <c r="DV111">
        <v>1</v>
      </c>
      <c r="DX111">
        <v>3</v>
      </c>
      <c r="DY111">
        <v>1</v>
      </c>
      <c r="EC111">
        <v>5</v>
      </c>
    </row>
    <row r="112" spans="116:133">
      <c r="DL112" t="s">
        <v>64</v>
      </c>
      <c r="DM112">
        <v>13</v>
      </c>
      <c r="DN112" t="s">
        <v>204</v>
      </c>
      <c r="DO112" t="s">
        <v>49</v>
      </c>
      <c r="DP112" t="s">
        <v>18</v>
      </c>
      <c r="DR112">
        <v>2</v>
      </c>
      <c r="DS112">
        <v>2</v>
      </c>
      <c r="DT112">
        <v>0</v>
      </c>
      <c r="DU112">
        <v>1</v>
      </c>
      <c r="DW112">
        <v>1</v>
      </c>
      <c r="DX112">
        <v>1</v>
      </c>
      <c r="DY112">
        <v>1</v>
      </c>
      <c r="EC112">
        <v>13</v>
      </c>
    </row>
    <row r="113" spans="116:133">
      <c r="DL113" t="s">
        <v>61</v>
      </c>
      <c r="DM113">
        <v>13</v>
      </c>
      <c r="DN113" t="s">
        <v>204</v>
      </c>
      <c r="DO113" t="s">
        <v>49</v>
      </c>
      <c r="DP113" t="s">
        <v>18</v>
      </c>
      <c r="DQ113">
        <v>1</v>
      </c>
      <c r="DS113">
        <v>4</v>
      </c>
      <c r="DT113">
        <v>0.25</v>
      </c>
      <c r="DW113">
        <v>3</v>
      </c>
      <c r="DX113">
        <v>1</v>
      </c>
      <c r="DY113">
        <v>1</v>
      </c>
      <c r="EA113">
        <v>1</v>
      </c>
      <c r="EC113">
        <v>14</v>
      </c>
    </row>
    <row r="114" spans="116:133">
      <c r="DL114" t="s">
        <v>68</v>
      </c>
      <c r="DM114">
        <v>13</v>
      </c>
      <c r="DN114" t="s">
        <v>204</v>
      </c>
      <c r="DO114" t="s">
        <v>49</v>
      </c>
      <c r="DP114" t="s">
        <v>18</v>
      </c>
      <c r="DR114">
        <v>1</v>
      </c>
      <c r="DT114">
        <v>0</v>
      </c>
      <c r="DU114">
        <v>1</v>
      </c>
      <c r="DV114">
        <v>2</v>
      </c>
      <c r="EA114">
        <v>1</v>
      </c>
      <c r="EC114">
        <v>-1</v>
      </c>
    </row>
    <row r="115" spans="116:133">
      <c r="DL115" t="s">
        <v>59</v>
      </c>
      <c r="DM115">
        <v>13</v>
      </c>
      <c r="DN115" t="s">
        <v>204</v>
      </c>
      <c r="DO115" t="s">
        <v>49</v>
      </c>
      <c r="DP115" t="s">
        <v>18</v>
      </c>
      <c r="DQ115">
        <v>3</v>
      </c>
      <c r="DS115">
        <v>10</v>
      </c>
      <c r="DT115">
        <v>0.3</v>
      </c>
      <c r="DW115">
        <v>1</v>
      </c>
      <c r="DX115">
        <v>3</v>
      </c>
      <c r="EB115">
        <v>1</v>
      </c>
      <c r="EC115">
        <v>14</v>
      </c>
    </row>
    <row r="116" spans="116:133">
      <c r="DL116" t="s">
        <v>71</v>
      </c>
      <c r="DM116">
        <v>13</v>
      </c>
      <c r="DN116" t="s">
        <v>204</v>
      </c>
      <c r="DO116" t="s">
        <v>49</v>
      </c>
      <c r="DP116" t="s">
        <v>18</v>
      </c>
      <c r="DR116">
        <v>1</v>
      </c>
      <c r="DT116">
        <v>0</v>
      </c>
      <c r="DX116">
        <v>1</v>
      </c>
      <c r="DZ116">
        <v>1</v>
      </c>
      <c r="EB116">
        <v>2</v>
      </c>
      <c r="EC116">
        <v>-6.5</v>
      </c>
    </row>
    <row r="117" spans="116:133">
      <c r="DL117" t="s">
        <v>63</v>
      </c>
      <c r="DM117">
        <v>13</v>
      </c>
      <c r="DN117" t="s">
        <v>204</v>
      </c>
      <c r="DO117" t="s">
        <v>49</v>
      </c>
      <c r="DP117" t="s">
        <v>18</v>
      </c>
      <c r="DQ117">
        <v>1</v>
      </c>
      <c r="DR117">
        <v>1</v>
      </c>
      <c r="DS117">
        <v>2</v>
      </c>
      <c r="DT117">
        <v>0.5</v>
      </c>
      <c r="DU117">
        <v>2</v>
      </c>
      <c r="EB117">
        <v>2</v>
      </c>
      <c r="EC117">
        <v>11</v>
      </c>
    </row>
    <row r="118" spans="116:133">
      <c r="DL118" t="s">
        <v>60</v>
      </c>
      <c r="DM118">
        <v>13</v>
      </c>
      <c r="DN118" t="s">
        <v>204</v>
      </c>
      <c r="DO118" t="s">
        <v>49</v>
      </c>
      <c r="DP118" t="s">
        <v>18</v>
      </c>
      <c r="DQ118">
        <v>2</v>
      </c>
      <c r="DS118">
        <v>5</v>
      </c>
      <c r="DT118">
        <v>0.4</v>
      </c>
      <c r="DU118">
        <v>1</v>
      </c>
      <c r="DV118">
        <v>2</v>
      </c>
      <c r="EC118">
        <v>12.5</v>
      </c>
    </row>
    <row r="119" spans="116:133">
      <c r="DL119" t="s">
        <v>62</v>
      </c>
      <c r="DM119">
        <v>13</v>
      </c>
      <c r="DN119" t="s">
        <v>204</v>
      </c>
      <c r="DO119" t="s">
        <v>49</v>
      </c>
      <c r="DP119" t="s">
        <v>18</v>
      </c>
      <c r="DQ119">
        <v>1</v>
      </c>
      <c r="DR119">
        <v>1</v>
      </c>
      <c r="DS119">
        <v>1</v>
      </c>
      <c r="DT119">
        <v>1</v>
      </c>
      <c r="DU119">
        <v>1</v>
      </c>
      <c r="DW119">
        <v>5</v>
      </c>
      <c r="EA119">
        <v>2</v>
      </c>
      <c r="EC119">
        <v>19</v>
      </c>
    </row>
    <row r="120" spans="116:133">
      <c r="DL120" t="s">
        <v>69</v>
      </c>
      <c r="DM120">
        <v>13</v>
      </c>
      <c r="DN120" t="s">
        <v>204</v>
      </c>
      <c r="DO120" t="s">
        <v>49</v>
      </c>
      <c r="DP120" t="s">
        <v>18</v>
      </c>
      <c r="DT120">
        <v>0</v>
      </c>
      <c r="DV120">
        <v>1</v>
      </c>
      <c r="DW120">
        <v>1</v>
      </c>
      <c r="EC120">
        <v>1.5</v>
      </c>
    </row>
    <row r="121" spans="116:133">
      <c r="DL121" t="s">
        <v>70</v>
      </c>
      <c r="DM121">
        <v>13</v>
      </c>
      <c r="DN121" t="s">
        <v>204</v>
      </c>
      <c r="DO121" t="s">
        <v>49</v>
      </c>
      <c r="DP121" t="s">
        <v>18</v>
      </c>
      <c r="DT121">
        <v>0</v>
      </c>
      <c r="DX121">
        <v>1</v>
      </c>
      <c r="DY121">
        <v>1</v>
      </c>
      <c r="EC121">
        <v>0.5</v>
      </c>
    </row>
    <row r="122" spans="116:133">
      <c r="DL122" t="s">
        <v>66</v>
      </c>
      <c r="DM122">
        <v>13</v>
      </c>
      <c r="DN122" t="s">
        <v>204</v>
      </c>
      <c r="DO122" t="s">
        <v>49</v>
      </c>
      <c r="DP122" t="s">
        <v>18</v>
      </c>
      <c r="DQ122">
        <v>1</v>
      </c>
      <c r="DS122">
        <v>2</v>
      </c>
      <c r="DT122">
        <v>0.5</v>
      </c>
      <c r="DU122">
        <v>1</v>
      </c>
      <c r="DX122">
        <v>1</v>
      </c>
      <c r="EC122">
        <v>5.5</v>
      </c>
    </row>
    <row r="123" spans="116:133">
      <c r="DL123" t="s">
        <v>129</v>
      </c>
      <c r="DM123">
        <v>13</v>
      </c>
      <c r="DN123" t="s">
        <v>204</v>
      </c>
      <c r="DO123" t="s">
        <v>49</v>
      </c>
      <c r="DP123" t="s">
        <v>18</v>
      </c>
      <c r="DT123">
        <v>0</v>
      </c>
      <c r="EC123">
        <v>0</v>
      </c>
    </row>
    <row r="124" spans="116:133">
      <c r="DL124" t="s">
        <v>64</v>
      </c>
      <c r="DM124">
        <v>14</v>
      </c>
      <c r="DN124" t="s">
        <v>205</v>
      </c>
      <c r="DO124" t="s">
        <v>47</v>
      </c>
      <c r="DP124" t="s">
        <v>19</v>
      </c>
      <c r="DQ124">
        <v>2</v>
      </c>
      <c r="DR124">
        <v>1</v>
      </c>
      <c r="DS124">
        <v>5</v>
      </c>
      <c r="DT124">
        <v>0.4</v>
      </c>
      <c r="DU124">
        <v>1</v>
      </c>
      <c r="DW124">
        <v>4</v>
      </c>
      <c r="DX124">
        <v>2</v>
      </c>
      <c r="DY124">
        <v>1</v>
      </c>
      <c r="EA124">
        <v>2</v>
      </c>
      <c r="EC124">
        <v>23.5</v>
      </c>
    </row>
    <row r="125" spans="116:133">
      <c r="DL125" t="s">
        <v>61</v>
      </c>
      <c r="DM125">
        <v>14</v>
      </c>
      <c r="DN125" t="s">
        <v>205</v>
      </c>
      <c r="DO125" t="s">
        <v>47</v>
      </c>
      <c r="DP125" t="s">
        <v>19</v>
      </c>
      <c r="DQ125">
        <v>1</v>
      </c>
      <c r="DS125">
        <v>3</v>
      </c>
      <c r="DT125">
        <v>0.333333</v>
      </c>
      <c r="DU125">
        <v>2</v>
      </c>
      <c r="DW125">
        <v>4</v>
      </c>
      <c r="DX125">
        <v>1</v>
      </c>
      <c r="DY125">
        <v>2</v>
      </c>
      <c r="EA125">
        <v>4</v>
      </c>
      <c r="EB125">
        <v>1</v>
      </c>
      <c r="EC125">
        <v>14</v>
      </c>
    </row>
    <row r="126" spans="116:133">
      <c r="DL126" t="s">
        <v>68</v>
      </c>
      <c r="DM126">
        <v>14</v>
      </c>
      <c r="DN126" t="s">
        <v>205</v>
      </c>
      <c r="DO126" t="s">
        <v>47</v>
      </c>
      <c r="DP126" t="s">
        <v>19</v>
      </c>
      <c r="DR126">
        <v>1</v>
      </c>
      <c r="DS126">
        <v>1</v>
      </c>
      <c r="DT126">
        <v>0</v>
      </c>
      <c r="DX126">
        <v>2</v>
      </c>
      <c r="DY126">
        <v>2</v>
      </c>
      <c r="EC126">
        <v>4.5</v>
      </c>
    </row>
    <row r="127" spans="116:133">
      <c r="DL127" t="s">
        <v>59</v>
      </c>
      <c r="DM127">
        <v>14</v>
      </c>
      <c r="DN127" t="s">
        <v>205</v>
      </c>
      <c r="DO127" t="s">
        <v>47</v>
      </c>
      <c r="DP127" t="s">
        <v>19</v>
      </c>
      <c r="DQ127">
        <v>1</v>
      </c>
      <c r="DR127">
        <v>1</v>
      </c>
      <c r="DS127">
        <v>6</v>
      </c>
      <c r="DT127">
        <v>0.166667</v>
      </c>
      <c r="DV127">
        <v>2</v>
      </c>
      <c r="DX127">
        <v>1</v>
      </c>
      <c r="DY127">
        <v>1</v>
      </c>
      <c r="EC127">
        <v>7.5</v>
      </c>
    </row>
    <row r="128" spans="116:133">
      <c r="DL128" t="s">
        <v>71</v>
      </c>
      <c r="DM128">
        <v>14</v>
      </c>
      <c r="DN128" t="s">
        <v>205</v>
      </c>
      <c r="DO128" t="s">
        <v>47</v>
      </c>
      <c r="DP128" t="s">
        <v>19</v>
      </c>
      <c r="DQ128">
        <v>1</v>
      </c>
      <c r="DS128">
        <v>2</v>
      </c>
      <c r="DT128">
        <v>0.5</v>
      </c>
      <c r="DU128">
        <v>2</v>
      </c>
      <c r="DW128">
        <v>1</v>
      </c>
      <c r="DX128">
        <v>1</v>
      </c>
      <c r="EA128">
        <v>3</v>
      </c>
      <c r="EC128">
        <v>4</v>
      </c>
    </row>
    <row r="129" spans="116:133">
      <c r="DL129" t="s">
        <v>63</v>
      </c>
      <c r="DM129">
        <v>14</v>
      </c>
      <c r="DN129" t="s">
        <v>205</v>
      </c>
      <c r="DO129" t="s">
        <v>47</v>
      </c>
      <c r="DP129" t="s">
        <v>19</v>
      </c>
      <c r="DQ129">
        <v>1</v>
      </c>
      <c r="DR129">
        <v>2</v>
      </c>
      <c r="DS129">
        <v>2</v>
      </c>
      <c r="DT129">
        <v>0.5</v>
      </c>
      <c r="EC129">
        <v>14</v>
      </c>
    </row>
    <row r="130" spans="116:133">
      <c r="DL130" t="s">
        <v>60</v>
      </c>
      <c r="DM130">
        <v>14</v>
      </c>
      <c r="DN130" t="s">
        <v>205</v>
      </c>
      <c r="DO130" t="s">
        <v>47</v>
      </c>
      <c r="DP130" t="s">
        <v>19</v>
      </c>
      <c r="DQ130">
        <v>5</v>
      </c>
      <c r="DS130">
        <v>8</v>
      </c>
      <c r="DT130">
        <v>0.625</v>
      </c>
      <c r="DU130">
        <v>2</v>
      </c>
      <c r="DX130">
        <v>1</v>
      </c>
      <c r="EA130">
        <v>1</v>
      </c>
      <c r="EC130">
        <v>30.5</v>
      </c>
    </row>
    <row r="131" spans="116:133">
      <c r="DL131" t="s">
        <v>62</v>
      </c>
      <c r="DM131">
        <v>14</v>
      </c>
      <c r="DN131" t="s">
        <v>205</v>
      </c>
      <c r="DO131" t="s">
        <v>47</v>
      </c>
      <c r="DP131" t="s">
        <v>19</v>
      </c>
      <c r="DQ131">
        <v>3</v>
      </c>
      <c r="DS131">
        <v>3</v>
      </c>
      <c r="DT131">
        <v>1</v>
      </c>
      <c r="DV131">
        <v>1</v>
      </c>
      <c r="DW131">
        <v>2</v>
      </c>
      <c r="DX131">
        <v>1</v>
      </c>
      <c r="EA131">
        <v>3</v>
      </c>
      <c r="EB131">
        <v>1</v>
      </c>
      <c r="EC131">
        <v>9</v>
      </c>
    </row>
    <row r="132" spans="116:133">
      <c r="DL132" t="s">
        <v>69</v>
      </c>
      <c r="DM132">
        <v>14</v>
      </c>
      <c r="DN132" t="s">
        <v>205</v>
      </c>
      <c r="DO132" t="s">
        <v>47</v>
      </c>
      <c r="DP132" t="s">
        <v>19</v>
      </c>
      <c r="DS132">
        <v>4</v>
      </c>
      <c r="DT132">
        <v>0</v>
      </c>
      <c r="DU132">
        <v>1</v>
      </c>
      <c r="DW132">
        <v>1</v>
      </c>
      <c r="DX132">
        <v>2</v>
      </c>
      <c r="EA132">
        <v>1</v>
      </c>
      <c r="EC132">
        <v>0.5</v>
      </c>
    </row>
    <row r="133" spans="116:133">
      <c r="DL133" t="s">
        <v>65</v>
      </c>
      <c r="DM133">
        <v>14</v>
      </c>
      <c r="DN133" t="s">
        <v>205</v>
      </c>
      <c r="DO133" t="s">
        <v>47</v>
      </c>
      <c r="DP133" t="s">
        <v>19</v>
      </c>
      <c r="DQ133">
        <v>1</v>
      </c>
      <c r="DS133">
        <v>3</v>
      </c>
      <c r="DT133">
        <v>0.333333</v>
      </c>
      <c r="DU133">
        <v>1</v>
      </c>
      <c r="EC133">
        <v>8.5</v>
      </c>
    </row>
    <row r="134" spans="116:133">
      <c r="DL134" t="s">
        <v>70</v>
      </c>
      <c r="DM134">
        <v>14</v>
      </c>
      <c r="DN134" t="s">
        <v>205</v>
      </c>
      <c r="DO134" t="s">
        <v>47</v>
      </c>
      <c r="DP134" t="s">
        <v>19</v>
      </c>
      <c r="DR134">
        <v>1</v>
      </c>
      <c r="DS134">
        <v>2</v>
      </c>
      <c r="DT134">
        <v>0</v>
      </c>
      <c r="EC134">
        <v>5</v>
      </c>
    </row>
    <row r="135" spans="116:133">
      <c r="DL135" t="s">
        <v>66</v>
      </c>
      <c r="DM135">
        <v>14</v>
      </c>
      <c r="DN135" t="s">
        <v>205</v>
      </c>
      <c r="DO135" t="s">
        <v>47</v>
      </c>
      <c r="DP135" t="s">
        <v>19</v>
      </c>
      <c r="DR135">
        <v>2</v>
      </c>
      <c r="DS135">
        <v>1</v>
      </c>
      <c r="DT135">
        <v>0</v>
      </c>
      <c r="DV135">
        <v>1</v>
      </c>
      <c r="DX135">
        <v>1</v>
      </c>
      <c r="DZ135">
        <v>1</v>
      </c>
      <c r="EC135">
        <v>0</v>
      </c>
    </row>
    <row r="136" spans="116:133">
      <c r="DL136" t="s">
        <v>64</v>
      </c>
      <c r="DM136">
        <v>10</v>
      </c>
      <c r="DN136" t="s">
        <v>206</v>
      </c>
      <c r="DO136" t="s">
        <v>30</v>
      </c>
      <c r="DP136" t="s">
        <v>19</v>
      </c>
      <c r="DQ136">
        <v>2</v>
      </c>
      <c r="DR136">
        <v>1</v>
      </c>
      <c r="DS136">
        <v>3</v>
      </c>
      <c r="DT136">
        <v>0.666667</v>
      </c>
      <c r="DU136">
        <v>1</v>
      </c>
      <c r="DX136">
        <v>3</v>
      </c>
      <c r="EA136">
        <v>3</v>
      </c>
      <c r="EC136">
        <v>5</v>
      </c>
    </row>
    <row r="137" spans="116:133">
      <c r="DL137" t="s">
        <v>61</v>
      </c>
      <c r="DM137">
        <v>10</v>
      </c>
      <c r="DN137" t="s">
        <v>206</v>
      </c>
      <c r="DO137" t="s">
        <v>30</v>
      </c>
      <c r="DP137" t="s">
        <v>19</v>
      </c>
      <c r="DQ137">
        <v>3</v>
      </c>
      <c r="DR137">
        <v>1</v>
      </c>
      <c r="DS137">
        <v>5</v>
      </c>
      <c r="DT137">
        <v>0.6</v>
      </c>
      <c r="DW137">
        <v>1</v>
      </c>
      <c r="DX137">
        <v>1</v>
      </c>
      <c r="EC137">
        <v>20.5</v>
      </c>
    </row>
    <row r="138" spans="116:133">
      <c r="DL138" t="s">
        <v>68</v>
      </c>
      <c r="DM138">
        <v>10</v>
      </c>
      <c r="DN138" t="s">
        <v>206</v>
      </c>
      <c r="DO138" t="s">
        <v>30</v>
      </c>
      <c r="DP138" t="s">
        <v>19</v>
      </c>
      <c r="DR138">
        <v>2</v>
      </c>
      <c r="DT138">
        <v>0</v>
      </c>
      <c r="DU138">
        <v>1</v>
      </c>
      <c r="DX138">
        <v>1</v>
      </c>
      <c r="EC138">
        <v>5.5</v>
      </c>
    </row>
    <row r="139" spans="116:133">
      <c r="DL139" t="s">
        <v>59</v>
      </c>
      <c r="DM139">
        <v>10</v>
      </c>
      <c r="DN139" t="s">
        <v>206</v>
      </c>
      <c r="DO139" t="s">
        <v>30</v>
      </c>
      <c r="DP139" t="s">
        <v>19</v>
      </c>
      <c r="DQ139">
        <v>7</v>
      </c>
      <c r="DS139">
        <v>9</v>
      </c>
      <c r="DT139">
        <v>0.777778</v>
      </c>
      <c r="DU139">
        <v>1</v>
      </c>
      <c r="DX139">
        <v>1</v>
      </c>
      <c r="EA139">
        <v>1</v>
      </c>
      <c r="EC139">
        <v>38</v>
      </c>
    </row>
    <row r="140" spans="116:133">
      <c r="DL140" t="s">
        <v>71</v>
      </c>
      <c r="DM140">
        <v>10</v>
      </c>
      <c r="DN140" t="s">
        <v>206</v>
      </c>
      <c r="DO140" t="s">
        <v>30</v>
      </c>
      <c r="DP140" t="s">
        <v>19</v>
      </c>
      <c r="DQ140">
        <v>2</v>
      </c>
      <c r="DR140">
        <v>2</v>
      </c>
      <c r="DS140">
        <v>3</v>
      </c>
      <c r="DT140">
        <v>0.666667</v>
      </c>
      <c r="DU140">
        <v>2</v>
      </c>
      <c r="EC140">
        <v>21.5</v>
      </c>
    </row>
    <row r="141" spans="116:133">
      <c r="DL141" t="s">
        <v>63</v>
      </c>
      <c r="DM141">
        <v>10</v>
      </c>
      <c r="DN141" t="s">
        <v>206</v>
      </c>
      <c r="DO141" t="s">
        <v>30</v>
      </c>
      <c r="DP141" t="s">
        <v>19</v>
      </c>
      <c r="DQ141">
        <v>3</v>
      </c>
      <c r="DR141">
        <v>1</v>
      </c>
      <c r="DS141">
        <v>3</v>
      </c>
      <c r="DT141">
        <v>1</v>
      </c>
      <c r="DV141">
        <v>1</v>
      </c>
      <c r="EA141">
        <v>1</v>
      </c>
      <c r="EB141">
        <v>1</v>
      </c>
      <c r="EC141">
        <v>13.5</v>
      </c>
    </row>
    <row r="142" spans="116:133">
      <c r="DL142" t="s">
        <v>60</v>
      </c>
      <c r="DM142">
        <v>10</v>
      </c>
      <c r="DN142" t="s">
        <v>206</v>
      </c>
      <c r="DO142" t="s">
        <v>30</v>
      </c>
      <c r="DP142" t="s">
        <v>19</v>
      </c>
      <c r="DQ142">
        <v>1</v>
      </c>
      <c r="DR142">
        <v>3</v>
      </c>
      <c r="DS142">
        <v>3</v>
      </c>
      <c r="DT142">
        <v>0.333333</v>
      </c>
      <c r="EC142">
        <v>16.5</v>
      </c>
    </row>
    <row r="143" spans="116:133">
      <c r="DL143" t="s">
        <v>62</v>
      </c>
      <c r="DM143">
        <v>10</v>
      </c>
      <c r="DN143" t="s">
        <v>206</v>
      </c>
      <c r="DO143" t="s">
        <v>30</v>
      </c>
      <c r="DP143" t="s">
        <v>19</v>
      </c>
      <c r="DQ143">
        <v>3</v>
      </c>
      <c r="DR143">
        <v>1</v>
      </c>
      <c r="DS143">
        <v>4</v>
      </c>
      <c r="DT143">
        <v>0.75</v>
      </c>
      <c r="DU143">
        <v>1</v>
      </c>
      <c r="DW143">
        <v>2</v>
      </c>
      <c r="DX143">
        <v>1</v>
      </c>
      <c r="DY143">
        <v>1</v>
      </c>
      <c r="EA143">
        <v>1</v>
      </c>
      <c r="EC143">
        <v>26.5</v>
      </c>
    </row>
    <row r="144" spans="116:133">
      <c r="DL144" t="s">
        <v>69</v>
      </c>
      <c r="DM144">
        <v>10</v>
      </c>
      <c r="DN144" t="s">
        <v>206</v>
      </c>
      <c r="DO144" t="s">
        <v>30</v>
      </c>
      <c r="DP144" t="s">
        <v>19</v>
      </c>
      <c r="DR144">
        <v>1</v>
      </c>
      <c r="DS144">
        <v>1</v>
      </c>
      <c r="DT144">
        <v>0</v>
      </c>
      <c r="DU144">
        <v>1</v>
      </c>
      <c r="DV144">
        <v>1</v>
      </c>
      <c r="DX144">
        <v>2</v>
      </c>
      <c r="EC144">
        <v>-0.5</v>
      </c>
    </row>
    <row r="145" spans="116:133">
      <c r="DL145" t="s">
        <v>65</v>
      </c>
      <c r="DM145">
        <v>10</v>
      </c>
      <c r="DN145" t="s">
        <v>206</v>
      </c>
      <c r="DO145" t="s">
        <v>30</v>
      </c>
      <c r="DP145" t="s">
        <v>19</v>
      </c>
      <c r="DQ145">
        <v>2</v>
      </c>
      <c r="DS145">
        <v>3</v>
      </c>
      <c r="DT145">
        <v>0.666667</v>
      </c>
      <c r="DW145">
        <v>1</v>
      </c>
      <c r="DX145">
        <v>1</v>
      </c>
      <c r="DY145">
        <v>1</v>
      </c>
      <c r="EC145">
        <v>15.5</v>
      </c>
    </row>
    <row r="146" spans="116:133">
      <c r="DL146" t="s">
        <v>70</v>
      </c>
      <c r="DM146">
        <v>10</v>
      </c>
      <c r="DN146" t="s">
        <v>206</v>
      </c>
      <c r="DO146" t="s">
        <v>30</v>
      </c>
      <c r="DP146" t="s">
        <v>19</v>
      </c>
      <c r="DR146">
        <v>2</v>
      </c>
      <c r="DT146">
        <v>0</v>
      </c>
      <c r="DU146">
        <v>2</v>
      </c>
      <c r="DV146">
        <v>1</v>
      </c>
      <c r="DW146">
        <v>1</v>
      </c>
      <c r="EA146">
        <v>1</v>
      </c>
      <c r="EB146">
        <v>1</v>
      </c>
      <c r="EC146">
        <v>6.5</v>
      </c>
    </row>
    <row r="147" spans="116:133">
      <c r="DL147" t="s">
        <v>129</v>
      </c>
      <c r="DM147">
        <v>10</v>
      </c>
      <c r="DN147" t="s">
        <v>206</v>
      </c>
      <c r="DO147" t="s">
        <v>30</v>
      </c>
      <c r="DP147" t="s">
        <v>19</v>
      </c>
      <c r="DR147">
        <v>1</v>
      </c>
      <c r="DT147">
        <v>0</v>
      </c>
      <c r="DV147">
        <v>1</v>
      </c>
      <c r="DX147">
        <v>3</v>
      </c>
      <c r="EC147">
        <v>-4.5</v>
      </c>
    </row>
    <row r="148" spans="116:133">
      <c r="DL148" t="s">
        <v>64</v>
      </c>
      <c r="DM148">
        <v>15</v>
      </c>
      <c r="DN148" t="s">
        <v>207</v>
      </c>
      <c r="DO148" t="s">
        <v>44</v>
      </c>
      <c r="DP148" t="s">
        <v>18</v>
      </c>
      <c r="DQ148">
        <v>1</v>
      </c>
      <c r="DR148">
        <v>2</v>
      </c>
      <c r="DS148">
        <v>1</v>
      </c>
      <c r="DT148">
        <v>1</v>
      </c>
      <c r="DU148">
        <v>3</v>
      </c>
      <c r="DV148">
        <v>1</v>
      </c>
      <c r="DW148">
        <v>1</v>
      </c>
      <c r="DX148">
        <v>3</v>
      </c>
      <c r="DY148">
        <v>1</v>
      </c>
      <c r="EB148">
        <v>1</v>
      </c>
      <c r="EC148">
        <v>11.5</v>
      </c>
    </row>
    <row r="149" spans="116:133">
      <c r="DL149" t="s">
        <v>61</v>
      </c>
      <c r="DM149">
        <v>15</v>
      </c>
      <c r="DN149" t="s">
        <v>207</v>
      </c>
      <c r="DO149" t="s">
        <v>44</v>
      </c>
      <c r="DP149" t="s">
        <v>18</v>
      </c>
      <c r="DQ149">
        <v>2</v>
      </c>
      <c r="DR149">
        <v>2</v>
      </c>
      <c r="DS149">
        <v>3</v>
      </c>
      <c r="DT149">
        <v>0.666667</v>
      </c>
      <c r="DW149">
        <v>2</v>
      </c>
      <c r="DX149">
        <v>2</v>
      </c>
      <c r="EB149">
        <v>1</v>
      </c>
      <c r="EC149">
        <v>15.5</v>
      </c>
    </row>
    <row r="150" spans="116:133">
      <c r="DL150" t="s">
        <v>68</v>
      </c>
      <c r="DM150">
        <v>15</v>
      </c>
      <c r="DN150" t="s">
        <v>207</v>
      </c>
      <c r="DO150" t="s">
        <v>44</v>
      </c>
      <c r="DP150" t="s">
        <v>18</v>
      </c>
      <c r="DR150">
        <v>2</v>
      </c>
      <c r="DT150">
        <v>0</v>
      </c>
      <c r="DX150">
        <v>1</v>
      </c>
      <c r="EB150">
        <v>1</v>
      </c>
      <c r="EC150">
        <v>2.5</v>
      </c>
    </row>
    <row r="151" spans="116:133">
      <c r="DL151" t="s">
        <v>59</v>
      </c>
      <c r="DM151">
        <v>15</v>
      </c>
      <c r="DN151" t="s">
        <v>207</v>
      </c>
      <c r="DO151" t="s">
        <v>44</v>
      </c>
      <c r="DP151" t="s">
        <v>18</v>
      </c>
      <c r="DQ151">
        <v>3</v>
      </c>
      <c r="DS151">
        <v>4</v>
      </c>
      <c r="DT151">
        <v>0.75</v>
      </c>
      <c r="DU151">
        <v>2</v>
      </c>
      <c r="DV151">
        <v>1</v>
      </c>
      <c r="DW151">
        <v>1</v>
      </c>
      <c r="DX151">
        <v>1</v>
      </c>
      <c r="EA151">
        <v>1</v>
      </c>
      <c r="EB151">
        <v>1</v>
      </c>
      <c r="EC151">
        <v>15</v>
      </c>
    </row>
    <row r="152" spans="116:133">
      <c r="DL152" t="s">
        <v>71</v>
      </c>
      <c r="DM152">
        <v>15</v>
      </c>
      <c r="DN152" t="s">
        <v>207</v>
      </c>
      <c r="DO152" t="s">
        <v>44</v>
      </c>
      <c r="DP152" t="s">
        <v>18</v>
      </c>
      <c r="DQ152">
        <v>1</v>
      </c>
      <c r="DR152">
        <v>1</v>
      </c>
      <c r="DS152">
        <v>2</v>
      </c>
      <c r="DT152">
        <v>0.5</v>
      </c>
      <c r="DU152">
        <v>1</v>
      </c>
      <c r="DV152">
        <v>1</v>
      </c>
      <c r="DW152">
        <v>1</v>
      </c>
      <c r="EA152">
        <v>1</v>
      </c>
      <c r="EC152">
        <v>9.5</v>
      </c>
    </row>
    <row r="153" spans="116:133">
      <c r="DL153" t="s">
        <v>60</v>
      </c>
      <c r="DM153">
        <v>15</v>
      </c>
      <c r="DN153" t="s">
        <v>207</v>
      </c>
      <c r="DO153" t="s">
        <v>44</v>
      </c>
      <c r="DP153" t="s">
        <v>18</v>
      </c>
      <c r="DQ153">
        <v>3</v>
      </c>
      <c r="DR153">
        <v>3</v>
      </c>
      <c r="DS153">
        <v>7</v>
      </c>
      <c r="DT153">
        <v>0.428571</v>
      </c>
      <c r="DW153">
        <v>1</v>
      </c>
      <c r="EC153">
        <v>32</v>
      </c>
    </row>
    <row r="154" spans="116:133">
      <c r="DL154" t="s">
        <v>62</v>
      </c>
      <c r="DM154">
        <v>15</v>
      </c>
      <c r="DN154" t="s">
        <v>207</v>
      </c>
      <c r="DO154" t="s">
        <v>44</v>
      </c>
      <c r="DP154" t="s">
        <v>18</v>
      </c>
      <c r="DQ154">
        <v>2</v>
      </c>
      <c r="DS154">
        <v>3</v>
      </c>
      <c r="DT154">
        <v>0.666667</v>
      </c>
      <c r="DW154">
        <v>1</v>
      </c>
      <c r="DX154">
        <v>2</v>
      </c>
      <c r="DY154">
        <v>1</v>
      </c>
      <c r="EA154">
        <v>2</v>
      </c>
      <c r="EC154">
        <v>9</v>
      </c>
    </row>
    <row r="155" spans="116:133">
      <c r="DL155" t="s">
        <v>69</v>
      </c>
      <c r="DM155">
        <v>15</v>
      </c>
      <c r="DN155" t="s">
        <v>207</v>
      </c>
      <c r="DO155" t="s">
        <v>44</v>
      </c>
      <c r="DP155" t="s">
        <v>18</v>
      </c>
      <c r="DS155">
        <v>1</v>
      </c>
      <c r="DT155">
        <v>0</v>
      </c>
      <c r="DX155">
        <v>3</v>
      </c>
      <c r="EB155">
        <v>1</v>
      </c>
      <c r="EC155">
        <v>-9</v>
      </c>
    </row>
    <row r="156" spans="116:133">
      <c r="DL156" t="s">
        <v>65</v>
      </c>
      <c r="DM156">
        <v>15</v>
      </c>
      <c r="DN156" t="s">
        <v>207</v>
      </c>
      <c r="DO156" t="s">
        <v>44</v>
      </c>
      <c r="DP156" t="s">
        <v>18</v>
      </c>
      <c r="DQ156">
        <v>2</v>
      </c>
      <c r="DR156">
        <v>1</v>
      </c>
      <c r="DS156">
        <v>3</v>
      </c>
      <c r="DT156">
        <v>0.666667</v>
      </c>
      <c r="DU156">
        <v>1</v>
      </c>
      <c r="DV156">
        <v>2</v>
      </c>
      <c r="DW156">
        <v>3</v>
      </c>
      <c r="EA156">
        <v>1</v>
      </c>
      <c r="EC156">
        <v>18</v>
      </c>
    </row>
    <row r="157" spans="116:133">
      <c r="DL157" t="s">
        <v>70</v>
      </c>
      <c r="DM157">
        <v>15</v>
      </c>
      <c r="DN157" t="s">
        <v>207</v>
      </c>
      <c r="DO157" t="s">
        <v>44</v>
      </c>
      <c r="DP157" t="s">
        <v>18</v>
      </c>
      <c r="DS157">
        <v>2</v>
      </c>
      <c r="DT157">
        <v>0</v>
      </c>
      <c r="EB157">
        <v>1</v>
      </c>
      <c r="EC157">
        <v>-1</v>
      </c>
    </row>
    <row r="158" spans="116:133">
      <c r="DL158" t="s">
        <v>66</v>
      </c>
      <c r="DM158">
        <v>15</v>
      </c>
      <c r="DN158" t="s">
        <v>207</v>
      </c>
      <c r="DO158" t="s">
        <v>44</v>
      </c>
      <c r="DP158" t="s">
        <v>18</v>
      </c>
      <c r="DQ158">
        <v>2</v>
      </c>
      <c r="DS158">
        <v>3</v>
      </c>
      <c r="DT158">
        <v>0.666667</v>
      </c>
      <c r="DY158">
        <v>1</v>
      </c>
      <c r="EC158">
        <v>15.5</v>
      </c>
    </row>
    <row r="159" spans="116:133">
      <c r="DL159" t="s">
        <v>129</v>
      </c>
      <c r="DM159">
        <v>15</v>
      </c>
      <c r="DN159" t="s">
        <v>207</v>
      </c>
      <c r="DO159" t="s">
        <v>44</v>
      </c>
      <c r="DP159" t="s">
        <v>18</v>
      </c>
      <c r="DT159">
        <v>0</v>
      </c>
      <c r="DU159">
        <v>1</v>
      </c>
      <c r="EB159">
        <v>1</v>
      </c>
      <c r="EC159">
        <v>0</v>
      </c>
    </row>
    <row r="160" spans="116:133">
      <c r="DL160" t="s">
        <v>64</v>
      </c>
      <c r="DM160">
        <v>16</v>
      </c>
      <c r="DN160" t="s">
        <v>208</v>
      </c>
      <c r="DO160" t="s">
        <v>45</v>
      </c>
      <c r="DP160" t="s">
        <v>19</v>
      </c>
      <c r="DS160">
        <v>2</v>
      </c>
      <c r="DT160">
        <v>0</v>
      </c>
      <c r="DU160">
        <v>1</v>
      </c>
      <c r="DV160">
        <v>1</v>
      </c>
      <c r="DW160">
        <v>1</v>
      </c>
      <c r="DX160">
        <v>3</v>
      </c>
      <c r="EC160">
        <v>-4</v>
      </c>
    </row>
    <row r="161" spans="116:133">
      <c r="DL161" t="s">
        <v>68</v>
      </c>
      <c r="DM161">
        <v>16</v>
      </c>
      <c r="DN161" t="s">
        <v>208</v>
      </c>
      <c r="DO161" t="s">
        <v>45</v>
      </c>
      <c r="DP161" t="s">
        <v>19</v>
      </c>
      <c r="DR161">
        <v>1</v>
      </c>
      <c r="DT161">
        <v>0</v>
      </c>
      <c r="DW161">
        <v>1</v>
      </c>
      <c r="DX161">
        <v>2</v>
      </c>
      <c r="EB161">
        <v>1</v>
      </c>
      <c r="EC161">
        <v>-1.5</v>
      </c>
    </row>
    <row r="162" spans="116:133">
      <c r="DL162" t="s">
        <v>59</v>
      </c>
      <c r="DM162">
        <v>16</v>
      </c>
      <c r="DN162" t="s">
        <v>208</v>
      </c>
      <c r="DO162" t="s">
        <v>45</v>
      </c>
      <c r="DP162" t="s">
        <v>19</v>
      </c>
      <c r="DQ162">
        <v>3</v>
      </c>
      <c r="DS162">
        <v>7</v>
      </c>
      <c r="DT162">
        <v>0.428571</v>
      </c>
      <c r="DU162">
        <v>1</v>
      </c>
      <c r="DV162">
        <v>1</v>
      </c>
      <c r="DX162">
        <v>2</v>
      </c>
      <c r="EB162">
        <v>1</v>
      </c>
      <c r="EC162">
        <v>13.5</v>
      </c>
    </row>
    <row r="163" spans="116:133">
      <c r="DL163" t="s">
        <v>71</v>
      </c>
      <c r="DM163">
        <v>16</v>
      </c>
      <c r="DN163" t="s">
        <v>208</v>
      </c>
      <c r="DO163" t="s">
        <v>45</v>
      </c>
      <c r="DP163" t="s">
        <v>19</v>
      </c>
      <c r="DQ163">
        <v>1</v>
      </c>
      <c r="DR163">
        <v>1</v>
      </c>
      <c r="DS163">
        <v>1</v>
      </c>
      <c r="DT163">
        <v>1</v>
      </c>
      <c r="DU163">
        <v>1</v>
      </c>
      <c r="EC163">
        <v>10.5</v>
      </c>
    </row>
    <row r="164" spans="116:133">
      <c r="DL164" t="s">
        <v>63</v>
      </c>
      <c r="DM164">
        <v>16</v>
      </c>
      <c r="DN164" t="s">
        <v>208</v>
      </c>
      <c r="DO164" t="s">
        <v>45</v>
      </c>
      <c r="DP164" t="s">
        <v>19</v>
      </c>
      <c r="DQ164">
        <v>3</v>
      </c>
      <c r="DR164">
        <v>1</v>
      </c>
      <c r="DS164">
        <v>4</v>
      </c>
      <c r="DT164">
        <v>0.75</v>
      </c>
      <c r="DV164">
        <v>1</v>
      </c>
      <c r="EC164">
        <v>18</v>
      </c>
    </row>
    <row r="165" spans="116:133">
      <c r="DL165" t="s">
        <v>60</v>
      </c>
      <c r="DM165">
        <v>16</v>
      </c>
      <c r="DN165" t="s">
        <v>208</v>
      </c>
      <c r="DO165" t="s">
        <v>45</v>
      </c>
      <c r="DP165" t="s">
        <v>19</v>
      </c>
      <c r="DQ165">
        <v>4</v>
      </c>
      <c r="DS165">
        <v>7</v>
      </c>
      <c r="DT165">
        <v>0.571429</v>
      </c>
      <c r="DU165">
        <v>3</v>
      </c>
      <c r="DW165">
        <v>4</v>
      </c>
      <c r="EA165">
        <v>3</v>
      </c>
      <c r="EC165">
        <v>33.5</v>
      </c>
    </row>
    <row r="166" spans="116:133">
      <c r="DL166" t="s">
        <v>62</v>
      </c>
      <c r="DM166">
        <v>16</v>
      </c>
      <c r="DN166" t="s">
        <v>208</v>
      </c>
      <c r="DO166" t="s">
        <v>45</v>
      </c>
      <c r="DP166" t="s">
        <v>19</v>
      </c>
      <c r="DQ166">
        <v>1</v>
      </c>
      <c r="DS166">
        <v>3</v>
      </c>
      <c r="DT166">
        <v>0.333333</v>
      </c>
      <c r="DW166">
        <v>3</v>
      </c>
      <c r="DX166">
        <v>1</v>
      </c>
      <c r="EA166">
        <v>1</v>
      </c>
      <c r="EC166">
        <v>13.5</v>
      </c>
    </row>
    <row r="167" spans="116:133">
      <c r="DL167" t="s">
        <v>69</v>
      </c>
      <c r="DM167">
        <v>16</v>
      </c>
      <c r="DN167" t="s">
        <v>208</v>
      </c>
      <c r="DO167" t="s">
        <v>45</v>
      </c>
      <c r="DP167" t="s">
        <v>19</v>
      </c>
      <c r="DR167">
        <v>4</v>
      </c>
      <c r="DS167">
        <v>1</v>
      </c>
      <c r="DT167">
        <v>0</v>
      </c>
      <c r="DU167">
        <v>1</v>
      </c>
      <c r="DV167">
        <v>1</v>
      </c>
      <c r="DX167">
        <v>1</v>
      </c>
      <c r="EA167">
        <v>2</v>
      </c>
      <c r="EC167">
        <v>6</v>
      </c>
    </row>
    <row r="168" spans="116:133">
      <c r="DL168" t="s">
        <v>65</v>
      </c>
      <c r="DM168">
        <v>16</v>
      </c>
      <c r="DN168" t="s">
        <v>208</v>
      </c>
      <c r="DO168" t="s">
        <v>45</v>
      </c>
      <c r="DP168" t="s">
        <v>19</v>
      </c>
      <c r="DS168">
        <v>2</v>
      </c>
      <c r="DT168">
        <v>0</v>
      </c>
      <c r="DU168">
        <v>1</v>
      </c>
      <c r="DV168">
        <v>1</v>
      </c>
      <c r="DW168">
        <v>1</v>
      </c>
      <c r="DX168">
        <v>2</v>
      </c>
      <c r="EC168">
        <v>-0.5</v>
      </c>
    </row>
    <row r="169" spans="116:133">
      <c r="DL169" t="s">
        <v>70</v>
      </c>
      <c r="DM169">
        <v>16</v>
      </c>
      <c r="DN169" t="s">
        <v>208</v>
      </c>
      <c r="DO169" t="s">
        <v>45</v>
      </c>
      <c r="DP169" t="s">
        <v>19</v>
      </c>
      <c r="DR169">
        <v>1</v>
      </c>
      <c r="DS169">
        <v>2</v>
      </c>
      <c r="DT169">
        <v>0</v>
      </c>
      <c r="EC169">
        <v>4</v>
      </c>
    </row>
    <row r="170" spans="116:133">
      <c r="DL170" t="s">
        <v>66</v>
      </c>
      <c r="DM170">
        <v>16</v>
      </c>
      <c r="DN170" t="s">
        <v>208</v>
      </c>
      <c r="DO170" t="s">
        <v>45</v>
      </c>
      <c r="DP170" t="s">
        <v>19</v>
      </c>
      <c r="DQ170">
        <v>1</v>
      </c>
      <c r="DS170">
        <v>2</v>
      </c>
      <c r="DT170">
        <v>0.5</v>
      </c>
      <c r="DW170">
        <v>2</v>
      </c>
      <c r="EC170">
        <v>11</v>
      </c>
    </row>
    <row r="171" spans="116:133">
      <c r="DL171" t="s">
        <v>129</v>
      </c>
      <c r="DM171">
        <v>16</v>
      </c>
      <c r="DN171" t="s">
        <v>208</v>
      </c>
      <c r="DO171" t="s">
        <v>45</v>
      </c>
      <c r="DP171" t="s">
        <v>19</v>
      </c>
      <c r="DT171">
        <v>0</v>
      </c>
      <c r="EC171">
        <v>0</v>
      </c>
    </row>
    <row r="172" spans="116:133">
      <c r="DL172" t="s">
        <v>130</v>
      </c>
      <c r="DM172">
        <v>17</v>
      </c>
      <c r="DN172" t="s">
        <v>209</v>
      </c>
      <c r="DO172" t="s">
        <v>50</v>
      </c>
      <c r="DP172" t="s">
        <v>18</v>
      </c>
      <c r="DR172">
        <v>1</v>
      </c>
      <c r="DT172">
        <v>0</v>
      </c>
      <c r="EA172">
        <v>1</v>
      </c>
      <c r="EB172">
        <v>1</v>
      </c>
      <c r="EC172">
        <v>-1</v>
      </c>
    </row>
    <row r="173" spans="116:133">
      <c r="DL173" t="s">
        <v>61</v>
      </c>
      <c r="DM173">
        <v>17</v>
      </c>
      <c r="DN173" t="s">
        <v>209</v>
      </c>
      <c r="DO173" t="s">
        <v>50</v>
      </c>
      <c r="DP173" t="s">
        <v>18</v>
      </c>
      <c r="DQ173">
        <v>2</v>
      </c>
      <c r="DR173">
        <v>1</v>
      </c>
      <c r="DS173">
        <v>6</v>
      </c>
      <c r="DT173">
        <v>0.333333</v>
      </c>
      <c r="DW173">
        <v>1</v>
      </c>
      <c r="EA173">
        <v>1</v>
      </c>
      <c r="EB173">
        <v>1</v>
      </c>
      <c r="EC173">
        <v>15.5</v>
      </c>
    </row>
    <row r="174" spans="116:133">
      <c r="DL174" t="s">
        <v>68</v>
      </c>
      <c r="DM174">
        <v>17</v>
      </c>
      <c r="DN174" t="s">
        <v>209</v>
      </c>
      <c r="DO174" t="s">
        <v>50</v>
      </c>
      <c r="DP174" t="s">
        <v>18</v>
      </c>
      <c r="DR174">
        <v>1</v>
      </c>
      <c r="DS174">
        <v>2</v>
      </c>
      <c r="DT174">
        <v>0</v>
      </c>
      <c r="DV174">
        <v>1</v>
      </c>
      <c r="DX174">
        <v>1</v>
      </c>
      <c r="DZ174">
        <v>1</v>
      </c>
      <c r="EC174">
        <v>-3.5</v>
      </c>
    </row>
    <row r="175" spans="116:133">
      <c r="DL175" t="s">
        <v>59</v>
      </c>
      <c r="DM175">
        <v>17</v>
      </c>
      <c r="DN175" t="s">
        <v>209</v>
      </c>
      <c r="DO175" t="s">
        <v>50</v>
      </c>
      <c r="DP175" t="s">
        <v>18</v>
      </c>
      <c r="DQ175">
        <v>4</v>
      </c>
      <c r="DR175">
        <v>2</v>
      </c>
      <c r="DS175">
        <v>5</v>
      </c>
      <c r="DT175">
        <v>0.8</v>
      </c>
      <c r="EB175">
        <v>2</v>
      </c>
      <c r="EC175">
        <v>24.5</v>
      </c>
    </row>
    <row r="176" spans="116:133">
      <c r="DL176" t="s">
        <v>71</v>
      </c>
      <c r="DM176">
        <v>17</v>
      </c>
      <c r="DN176" t="s">
        <v>209</v>
      </c>
      <c r="DO176" t="s">
        <v>50</v>
      </c>
      <c r="DP176" t="s">
        <v>18</v>
      </c>
      <c r="DR176">
        <v>1</v>
      </c>
      <c r="DS176">
        <v>2</v>
      </c>
      <c r="DT176">
        <v>0</v>
      </c>
      <c r="DU176">
        <v>1</v>
      </c>
      <c r="DV176">
        <v>1</v>
      </c>
      <c r="DW176">
        <v>1</v>
      </c>
      <c r="DX176">
        <v>1</v>
      </c>
      <c r="EC176">
        <v>5</v>
      </c>
    </row>
    <row r="177" spans="116:133">
      <c r="DL177" t="s">
        <v>63</v>
      </c>
      <c r="DM177">
        <v>17</v>
      </c>
      <c r="DN177" t="s">
        <v>209</v>
      </c>
      <c r="DO177" t="s">
        <v>50</v>
      </c>
      <c r="DP177" t="s">
        <v>18</v>
      </c>
      <c r="DR177">
        <v>1</v>
      </c>
      <c r="DS177">
        <v>2</v>
      </c>
      <c r="DT177">
        <v>0</v>
      </c>
      <c r="DV177">
        <v>1</v>
      </c>
      <c r="DY177">
        <v>1</v>
      </c>
      <c r="EB177">
        <v>2</v>
      </c>
      <c r="EC177">
        <v>1</v>
      </c>
    </row>
    <row r="178" spans="116:133">
      <c r="DL178" t="s">
        <v>60</v>
      </c>
      <c r="DM178">
        <v>17</v>
      </c>
      <c r="DN178" t="s">
        <v>209</v>
      </c>
      <c r="DO178" t="s">
        <v>50</v>
      </c>
      <c r="DP178" t="s">
        <v>18</v>
      </c>
      <c r="DQ178">
        <v>6</v>
      </c>
      <c r="DS178">
        <v>11</v>
      </c>
      <c r="DT178">
        <v>0.545455</v>
      </c>
      <c r="DU178">
        <v>1</v>
      </c>
      <c r="DY178">
        <v>1</v>
      </c>
      <c r="EB178">
        <v>1</v>
      </c>
      <c r="EC178">
        <v>39.5</v>
      </c>
    </row>
    <row r="179" spans="116:133">
      <c r="DL179" t="s">
        <v>69</v>
      </c>
      <c r="DM179">
        <v>17</v>
      </c>
      <c r="DN179" t="s">
        <v>209</v>
      </c>
      <c r="DO179" t="s">
        <v>50</v>
      </c>
      <c r="DP179" t="s">
        <v>18</v>
      </c>
      <c r="DR179">
        <v>3</v>
      </c>
      <c r="DS179">
        <v>2</v>
      </c>
      <c r="DT179">
        <v>0</v>
      </c>
      <c r="DV179">
        <v>1</v>
      </c>
      <c r="EB179">
        <v>1</v>
      </c>
      <c r="EC179">
        <v>6</v>
      </c>
    </row>
    <row r="180" spans="116:133">
      <c r="DL180" t="s">
        <v>65</v>
      </c>
      <c r="DM180">
        <v>17</v>
      </c>
      <c r="DN180" t="s">
        <v>209</v>
      </c>
      <c r="DO180" t="s">
        <v>50</v>
      </c>
      <c r="DP180" t="s">
        <v>18</v>
      </c>
      <c r="DQ180">
        <v>1</v>
      </c>
      <c r="DS180">
        <v>1</v>
      </c>
      <c r="DT180">
        <v>1</v>
      </c>
      <c r="DU180">
        <v>1</v>
      </c>
      <c r="EA180">
        <v>1</v>
      </c>
      <c r="EC180">
        <v>6.5</v>
      </c>
    </row>
    <row r="181" spans="116:133">
      <c r="DL181" t="s">
        <v>70</v>
      </c>
      <c r="DM181">
        <v>17</v>
      </c>
      <c r="DN181" t="s">
        <v>209</v>
      </c>
      <c r="DO181" t="s">
        <v>50</v>
      </c>
      <c r="DP181" t="s">
        <v>18</v>
      </c>
      <c r="DR181">
        <v>1</v>
      </c>
      <c r="DT181">
        <v>0</v>
      </c>
      <c r="DY181">
        <v>1</v>
      </c>
      <c r="EC181">
        <v>6</v>
      </c>
    </row>
    <row r="182" spans="116:133">
      <c r="DL182" t="s">
        <v>127</v>
      </c>
      <c r="DM182">
        <v>17</v>
      </c>
      <c r="DN182" t="s">
        <v>209</v>
      </c>
      <c r="DO182" t="s">
        <v>50</v>
      </c>
      <c r="DP182" t="s">
        <v>18</v>
      </c>
      <c r="DQ182">
        <v>1</v>
      </c>
      <c r="DS182">
        <v>3</v>
      </c>
      <c r="DT182">
        <v>0.333333</v>
      </c>
      <c r="DY182">
        <v>1</v>
      </c>
      <c r="EC182">
        <v>9.5</v>
      </c>
    </row>
    <row r="183" spans="116:133">
      <c r="DL183" t="s">
        <v>128</v>
      </c>
      <c r="DM183">
        <v>17</v>
      </c>
      <c r="DN183" t="s">
        <v>209</v>
      </c>
      <c r="DO183" t="s">
        <v>50</v>
      </c>
      <c r="DP183" t="s">
        <v>18</v>
      </c>
      <c r="DT183">
        <v>0</v>
      </c>
      <c r="EC183">
        <v>0</v>
      </c>
    </row>
    <row r="184" spans="116:133">
      <c r="DL184" t="s">
        <v>64</v>
      </c>
      <c r="DM184">
        <v>18</v>
      </c>
      <c r="DN184" t="s">
        <v>210</v>
      </c>
      <c r="DO184" t="s">
        <v>48</v>
      </c>
      <c r="DP184" t="s">
        <v>19</v>
      </c>
      <c r="DQ184">
        <v>1</v>
      </c>
      <c r="DS184">
        <v>2</v>
      </c>
      <c r="DT184">
        <v>0.5</v>
      </c>
      <c r="DU184">
        <v>1</v>
      </c>
      <c r="DW184">
        <v>1</v>
      </c>
      <c r="DX184">
        <v>1</v>
      </c>
      <c r="DY184">
        <v>1</v>
      </c>
      <c r="EC184">
        <v>12</v>
      </c>
    </row>
    <row r="185" spans="116:133">
      <c r="DL185" t="s">
        <v>61</v>
      </c>
      <c r="DM185">
        <v>18</v>
      </c>
      <c r="DN185" t="s">
        <v>210</v>
      </c>
      <c r="DO185" t="s">
        <v>48</v>
      </c>
      <c r="DP185" t="s">
        <v>19</v>
      </c>
      <c r="DQ185">
        <v>2</v>
      </c>
      <c r="DS185">
        <v>2</v>
      </c>
      <c r="DT185">
        <v>1</v>
      </c>
      <c r="DU185">
        <v>1</v>
      </c>
      <c r="DW185">
        <v>2</v>
      </c>
      <c r="EA185">
        <v>3</v>
      </c>
      <c r="EB185">
        <v>1</v>
      </c>
      <c r="EC185">
        <v>10</v>
      </c>
    </row>
    <row r="186" spans="116:133">
      <c r="DL186" t="s">
        <v>68</v>
      </c>
      <c r="DM186">
        <v>18</v>
      </c>
      <c r="DN186" t="s">
        <v>210</v>
      </c>
      <c r="DO186" t="s">
        <v>48</v>
      </c>
      <c r="DP186" t="s">
        <v>19</v>
      </c>
      <c r="DS186">
        <v>1</v>
      </c>
      <c r="DT186">
        <v>0</v>
      </c>
      <c r="DU186">
        <v>1</v>
      </c>
      <c r="DW186">
        <v>2</v>
      </c>
      <c r="EC186">
        <v>7.5</v>
      </c>
    </row>
    <row r="187" spans="116:133">
      <c r="DL187" t="s">
        <v>59</v>
      </c>
      <c r="DM187">
        <v>18</v>
      </c>
      <c r="DN187" t="s">
        <v>210</v>
      </c>
      <c r="DO187" t="s">
        <v>48</v>
      </c>
      <c r="DP187" t="s">
        <v>19</v>
      </c>
      <c r="DQ187">
        <v>5</v>
      </c>
      <c r="DS187">
        <v>7</v>
      </c>
      <c r="DT187">
        <v>0.714286</v>
      </c>
      <c r="DV187">
        <v>1</v>
      </c>
      <c r="DW187">
        <v>1</v>
      </c>
      <c r="DX187">
        <v>1</v>
      </c>
      <c r="EC187">
        <v>26.5</v>
      </c>
    </row>
    <row r="188" spans="116:133">
      <c r="DL188" t="s">
        <v>71</v>
      </c>
      <c r="DM188">
        <v>18</v>
      </c>
      <c r="DN188" t="s">
        <v>210</v>
      </c>
      <c r="DO188" t="s">
        <v>48</v>
      </c>
      <c r="DP188" t="s">
        <v>19</v>
      </c>
      <c r="DQ188">
        <v>2</v>
      </c>
      <c r="DR188">
        <v>1</v>
      </c>
      <c r="DS188">
        <v>6</v>
      </c>
      <c r="DT188">
        <v>0.333333</v>
      </c>
      <c r="DU188">
        <v>1</v>
      </c>
      <c r="EB188">
        <v>1</v>
      </c>
      <c r="EC188">
        <v>16</v>
      </c>
    </row>
    <row r="189" spans="116:133">
      <c r="DL189" t="s">
        <v>63</v>
      </c>
      <c r="DM189">
        <v>18</v>
      </c>
      <c r="DN189" t="s">
        <v>210</v>
      </c>
      <c r="DO189" t="s">
        <v>48</v>
      </c>
      <c r="DP189" t="s">
        <v>19</v>
      </c>
      <c r="DQ189">
        <v>2</v>
      </c>
      <c r="DR189">
        <v>1</v>
      </c>
      <c r="DS189">
        <v>4</v>
      </c>
      <c r="DT189">
        <v>0.5</v>
      </c>
      <c r="DU189">
        <v>2</v>
      </c>
      <c r="DW189">
        <v>1</v>
      </c>
      <c r="DZ189">
        <v>1</v>
      </c>
      <c r="EA189">
        <v>1</v>
      </c>
      <c r="EB189">
        <v>1</v>
      </c>
      <c r="EC189">
        <v>14.5</v>
      </c>
    </row>
    <row r="190" spans="116:133">
      <c r="DL190" t="s">
        <v>60</v>
      </c>
      <c r="DM190">
        <v>18</v>
      </c>
      <c r="DN190" t="s">
        <v>210</v>
      </c>
      <c r="DO190" t="s">
        <v>48</v>
      </c>
      <c r="DP190" t="s">
        <v>19</v>
      </c>
      <c r="DQ190">
        <v>2</v>
      </c>
      <c r="DR190">
        <v>2</v>
      </c>
      <c r="DS190">
        <v>7</v>
      </c>
      <c r="DT190">
        <v>0.285714</v>
      </c>
      <c r="DU190">
        <v>1</v>
      </c>
      <c r="DW190">
        <v>1</v>
      </c>
      <c r="DX190">
        <v>3</v>
      </c>
      <c r="DY190">
        <v>1</v>
      </c>
      <c r="EC190">
        <v>20.5</v>
      </c>
    </row>
    <row r="191" spans="116:133">
      <c r="DL191" t="s">
        <v>62</v>
      </c>
      <c r="DM191">
        <v>18</v>
      </c>
      <c r="DN191" t="s">
        <v>210</v>
      </c>
      <c r="DO191" t="s">
        <v>48</v>
      </c>
      <c r="DP191" t="s">
        <v>19</v>
      </c>
      <c r="DS191">
        <v>1</v>
      </c>
      <c r="DT191">
        <v>0</v>
      </c>
      <c r="DU191">
        <v>2</v>
      </c>
      <c r="DW191">
        <v>2</v>
      </c>
      <c r="DX191">
        <v>1</v>
      </c>
      <c r="EA191">
        <v>1</v>
      </c>
      <c r="EC191">
        <v>5</v>
      </c>
    </row>
    <row r="192" spans="116:133">
      <c r="DL192" t="s">
        <v>69</v>
      </c>
      <c r="DM192">
        <v>18</v>
      </c>
      <c r="DN192" t="s">
        <v>210</v>
      </c>
      <c r="DO192" t="s">
        <v>48</v>
      </c>
      <c r="DP192" t="s">
        <v>19</v>
      </c>
      <c r="DS192">
        <v>2</v>
      </c>
      <c r="DT192">
        <v>0</v>
      </c>
      <c r="DU192">
        <v>2</v>
      </c>
      <c r="DW192">
        <v>1</v>
      </c>
      <c r="DX192">
        <v>1</v>
      </c>
      <c r="EA192">
        <v>1</v>
      </c>
      <c r="EB192">
        <v>1</v>
      </c>
      <c r="EC192">
        <v>2</v>
      </c>
    </row>
    <row r="193" spans="116:133">
      <c r="DL193" t="s">
        <v>65</v>
      </c>
      <c r="DM193">
        <v>18</v>
      </c>
      <c r="DN193" t="s">
        <v>210</v>
      </c>
      <c r="DO193" t="s">
        <v>48</v>
      </c>
      <c r="DP193" t="s">
        <v>19</v>
      </c>
      <c r="DR193">
        <v>3</v>
      </c>
      <c r="DS193">
        <v>2</v>
      </c>
      <c r="DT193">
        <v>0</v>
      </c>
      <c r="DU193">
        <v>1</v>
      </c>
      <c r="DV193">
        <v>1</v>
      </c>
      <c r="DW193">
        <v>1</v>
      </c>
      <c r="DX193">
        <v>2</v>
      </c>
      <c r="EA193">
        <v>1</v>
      </c>
      <c r="EC193">
        <v>5.5</v>
      </c>
    </row>
    <row r="194" spans="116:133">
      <c r="DL194" t="s">
        <v>70</v>
      </c>
      <c r="DM194">
        <v>18</v>
      </c>
      <c r="DN194" t="s">
        <v>210</v>
      </c>
      <c r="DO194" t="s">
        <v>48</v>
      </c>
      <c r="DP194" t="s">
        <v>19</v>
      </c>
      <c r="DQ194">
        <v>1</v>
      </c>
      <c r="DR194">
        <v>2</v>
      </c>
      <c r="DS194">
        <v>2</v>
      </c>
      <c r="DT194">
        <v>0.5</v>
      </c>
      <c r="DW194">
        <v>1</v>
      </c>
      <c r="DX194">
        <v>1</v>
      </c>
      <c r="DY194">
        <v>1</v>
      </c>
      <c r="EB194">
        <v>1</v>
      </c>
      <c r="EC194">
        <v>14</v>
      </c>
    </row>
    <row r="195" spans="116:133">
      <c r="DL195" t="s">
        <v>66</v>
      </c>
      <c r="DM195">
        <v>18</v>
      </c>
      <c r="DN195" t="s">
        <v>210</v>
      </c>
      <c r="DO195" t="s">
        <v>48</v>
      </c>
      <c r="DP195" t="s">
        <v>19</v>
      </c>
      <c r="DR195">
        <v>1</v>
      </c>
      <c r="DS195">
        <v>1</v>
      </c>
      <c r="DT195">
        <v>0</v>
      </c>
      <c r="DU195">
        <v>1</v>
      </c>
      <c r="EB195">
        <v>1</v>
      </c>
      <c r="EC195">
        <v>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0.7109375" customWidth="1"/>
    <col min="3" max="3" width="12.7109375" customWidth="1"/>
    <col min="4" max="4" width="7.7109375" customWidth="1"/>
    <col min="5" max="5" width="28.7109375" customWidth="1"/>
    <col min="6" max="6" width="20.7109375" customWidth="1"/>
    <col min="7" max="8" width="16.7109375" customWidth="1"/>
    <col min="9" max="9" width="11.7109375" customWidth="1"/>
    <col min="10" max="10" width="16.7109375" customWidth="1"/>
    <col min="11" max="11" width="7.7109375" customWidth="1"/>
    <col min="12" max="12" width="25.7109375" customWidth="1"/>
    <col min="13" max="13" width="17.7109375" customWidth="1"/>
    <col min="14" max="14" width="10.7109375" customWidth="1"/>
    <col min="15" max="15" width="15.7109375" customWidth="1"/>
    <col min="16" max="16" width="10.7109375" customWidth="1"/>
    <col min="17" max="17" width="15.7109375" customWidth="1"/>
    <col min="18" max="18" width="10.7109375" customWidth="1"/>
    <col min="19" max="19" width="15.7109375" customWidth="1"/>
    <col min="20" max="20" width="10.7109375" customWidth="1"/>
    <col min="21" max="21" width="15.7109375" customWidth="1"/>
    <col min="22" max="22" width="28.7109375" customWidth="1"/>
  </cols>
  <sheetData>
    <row r="1" spans="1:22">
      <c r="A1" s="15" t="s">
        <v>305</v>
      </c>
      <c r="B1" s="15" t="s">
        <v>23</v>
      </c>
      <c r="C1" s="15" t="s">
        <v>24</v>
      </c>
      <c r="D1" s="15" t="s">
        <v>306</v>
      </c>
      <c r="E1" s="15" t="s">
        <v>307</v>
      </c>
      <c r="F1" s="15" t="s">
        <v>25</v>
      </c>
      <c r="G1" s="15" t="s">
        <v>308</v>
      </c>
      <c r="H1" s="15" t="s">
        <v>26</v>
      </c>
      <c r="I1" s="15" t="s">
        <v>27</v>
      </c>
      <c r="J1" s="15" t="s">
        <v>28</v>
      </c>
      <c r="K1" s="15" t="s">
        <v>309</v>
      </c>
      <c r="L1" s="15" t="s">
        <v>310</v>
      </c>
      <c r="M1" s="15" t="s">
        <v>311</v>
      </c>
      <c r="N1" s="15" t="s">
        <v>312</v>
      </c>
      <c r="O1" s="15" t="s">
        <v>313</v>
      </c>
      <c r="P1" s="15" t="s">
        <v>314</v>
      </c>
      <c r="Q1" s="15" t="s">
        <v>315</v>
      </c>
      <c r="R1" s="15" t="s">
        <v>316</v>
      </c>
      <c r="S1" s="15" t="s">
        <v>317</v>
      </c>
      <c r="T1" s="15" t="s">
        <v>318</v>
      </c>
      <c r="U1" s="15" t="s">
        <v>319</v>
      </c>
      <c r="V1" s="15" t="s">
        <v>320</v>
      </c>
    </row>
    <row r="2" spans="1:22">
      <c r="A2" t="s">
        <v>321</v>
      </c>
      <c r="B2">
        <v>1</v>
      </c>
      <c r="C2" t="s">
        <v>29</v>
      </c>
      <c r="D2" t="s">
        <v>339</v>
      </c>
      <c r="E2" t="s">
        <v>353</v>
      </c>
      <c r="F2" t="s">
        <v>30</v>
      </c>
      <c r="G2" t="s">
        <v>236</v>
      </c>
      <c r="H2" t="s">
        <v>18</v>
      </c>
      <c r="I2">
        <v>13</v>
      </c>
      <c r="J2">
        <v>10</v>
      </c>
      <c r="K2" t="s">
        <v>13</v>
      </c>
      <c r="L2" t="s">
        <v>89</v>
      </c>
      <c r="V2" t="s">
        <v>89</v>
      </c>
    </row>
    <row r="3" spans="1:22">
      <c r="A3" t="s">
        <v>322</v>
      </c>
      <c r="B3">
        <v>2</v>
      </c>
      <c r="C3" t="s">
        <v>195</v>
      </c>
      <c r="D3" t="s">
        <v>340</v>
      </c>
      <c r="E3" t="s">
        <v>354</v>
      </c>
      <c r="F3" t="s">
        <v>51</v>
      </c>
      <c r="G3" t="s">
        <v>236</v>
      </c>
      <c r="H3" t="s">
        <v>19</v>
      </c>
      <c r="I3">
        <v>14</v>
      </c>
      <c r="J3">
        <v>11</v>
      </c>
      <c r="K3" t="s">
        <v>13</v>
      </c>
      <c r="L3" t="s">
        <v>88</v>
      </c>
      <c r="M3" t="s">
        <v>364</v>
      </c>
      <c r="V3" t="s">
        <v>89</v>
      </c>
    </row>
    <row r="4" spans="1:22">
      <c r="A4" t="s">
        <v>323</v>
      </c>
      <c r="B4">
        <v>3</v>
      </c>
      <c r="C4" t="s">
        <v>196</v>
      </c>
      <c r="D4" t="s">
        <v>341</v>
      </c>
      <c r="E4" t="s">
        <v>353</v>
      </c>
      <c r="F4" t="s">
        <v>32</v>
      </c>
      <c r="G4" t="s">
        <v>236</v>
      </c>
      <c r="H4" t="s">
        <v>18</v>
      </c>
      <c r="I4">
        <v>15</v>
      </c>
      <c r="J4">
        <v>10</v>
      </c>
      <c r="K4" t="s">
        <v>13</v>
      </c>
      <c r="L4" t="s">
        <v>88</v>
      </c>
      <c r="M4" t="s">
        <v>365</v>
      </c>
      <c r="V4" t="s">
        <v>89</v>
      </c>
    </row>
    <row r="5" spans="1:22">
      <c r="A5" t="s">
        <v>324</v>
      </c>
      <c r="B5">
        <v>4</v>
      </c>
      <c r="C5" t="s">
        <v>197</v>
      </c>
      <c r="D5" t="s">
        <v>339</v>
      </c>
      <c r="E5" t="s">
        <v>355</v>
      </c>
      <c r="F5" t="s">
        <v>49</v>
      </c>
      <c r="G5" t="s">
        <v>236</v>
      </c>
      <c r="H5" t="s">
        <v>19</v>
      </c>
      <c r="I5">
        <v>13</v>
      </c>
      <c r="J5">
        <v>10</v>
      </c>
      <c r="K5" t="s">
        <v>13</v>
      </c>
      <c r="L5" t="s">
        <v>88</v>
      </c>
      <c r="M5" t="s">
        <v>366</v>
      </c>
      <c r="V5" t="s">
        <v>89</v>
      </c>
    </row>
    <row r="6" spans="1:22">
      <c r="A6" t="s">
        <v>325</v>
      </c>
      <c r="B6">
        <v>5</v>
      </c>
      <c r="C6" t="s">
        <v>198</v>
      </c>
      <c r="D6" t="s">
        <v>342</v>
      </c>
      <c r="E6" t="s">
        <v>356</v>
      </c>
      <c r="F6" t="s">
        <v>47</v>
      </c>
      <c r="G6" t="s">
        <v>236</v>
      </c>
      <c r="H6" t="s">
        <v>18</v>
      </c>
      <c r="I6">
        <v>11</v>
      </c>
      <c r="J6">
        <v>13</v>
      </c>
      <c r="K6" t="s">
        <v>15</v>
      </c>
      <c r="L6" t="s">
        <v>88</v>
      </c>
      <c r="M6" t="s">
        <v>367</v>
      </c>
      <c r="V6" t="s">
        <v>89</v>
      </c>
    </row>
    <row r="7" spans="1:22">
      <c r="A7" t="s">
        <v>326</v>
      </c>
      <c r="B7">
        <v>6</v>
      </c>
      <c r="C7" t="s">
        <v>199</v>
      </c>
      <c r="D7" t="s">
        <v>343</v>
      </c>
      <c r="E7" t="s">
        <v>353</v>
      </c>
      <c r="F7" t="s">
        <v>44</v>
      </c>
      <c r="G7" t="s">
        <v>236</v>
      </c>
      <c r="H7" t="s">
        <v>19</v>
      </c>
      <c r="I7">
        <v>7</v>
      </c>
      <c r="J7">
        <v>13</v>
      </c>
      <c r="K7" t="s">
        <v>15</v>
      </c>
      <c r="L7" t="s">
        <v>88</v>
      </c>
      <c r="M7" t="s">
        <v>368</v>
      </c>
      <c r="V7" t="s">
        <v>89</v>
      </c>
    </row>
    <row r="8" spans="1:22">
      <c r="A8" t="s">
        <v>327</v>
      </c>
      <c r="B8">
        <v>7</v>
      </c>
      <c r="C8" t="s">
        <v>200</v>
      </c>
      <c r="D8" t="s">
        <v>344</v>
      </c>
      <c r="E8" t="s">
        <v>353</v>
      </c>
      <c r="F8" t="s">
        <v>45</v>
      </c>
      <c r="G8" t="s">
        <v>236</v>
      </c>
      <c r="H8" t="s">
        <v>18</v>
      </c>
      <c r="I8">
        <v>10</v>
      </c>
      <c r="J8">
        <v>11</v>
      </c>
      <c r="K8" t="s">
        <v>15</v>
      </c>
      <c r="L8" t="s">
        <v>88</v>
      </c>
      <c r="M8" t="s">
        <v>369</v>
      </c>
      <c r="N8">
        <v>2</v>
      </c>
      <c r="O8">
        <v>2</v>
      </c>
      <c r="P8">
        <v>4</v>
      </c>
      <c r="Q8">
        <v>2</v>
      </c>
      <c r="R8">
        <v>1</v>
      </c>
      <c r="S8">
        <v>5</v>
      </c>
      <c r="T8">
        <v>3</v>
      </c>
      <c r="U8">
        <v>1</v>
      </c>
      <c r="V8" t="s">
        <v>88</v>
      </c>
    </row>
    <row r="9" spans="1:22">
      <c r="A9" t="s">
        <v>328</v>
      </c>
      <c r="B9">
        <v>8</v>
      </c>
      <c r="C9" t="s">
        <v>201</v>
      </c>
      <c r="D9" t="s">
        <v>345</v>
      </c>
      <c r="E9" t="s">
        <v>357</v>
      </c>
      <c r="F9" t="s">
        <v>50</v>
      </c>
      <c r="G9" t="s">
        <v>236</v>
      </c>
      <c r="H9" t="s">
        <v>19</v>
      </c>
      <c r="I9">
        <v>12</v>
      </c>
      <c r="J9">
        <v>9</v>
      </c>
      <c r="K9" t="s">
        <v>13</v>
      </c>
      <c r="L9" t="s">
        <v>88</v>
      </c>
      <c r="M9" t="s">
        <v>370</v>
      </c>
      <c r="N9">
        <v>3</v>
      </c>
      <c r="O9">
        <v>1</v>
      </c>
      <c r="P9">
        <v>2</v>
      </c>
      <c r="Q9">
        <v>3</v>
      </c>
      <c r="R9">
        <v>4</v>
      </c>
      <c r="S9">
        <v>3</v>
      </c>
      <c r="T9">
        <v>3</v>
      </c>
      <c r="U9">
        <v>2</v>
      </c>
      <c r="V9" t="s">
        <v>88</v>
      </c>
    </row>
    <row r="10" spans="1:22">
      <c r="A10" t="s">
        <v>329</v>
      </c>
      <c r="B10">
        <v>9</v>
      </c>
      <c r="C10" t="s">
        <v>202</v>
      </c>
      <c r="D10" t="s">
        <v>346</v>
      </c>
      <c r="E10" t="s">
        <v>358</v>
      </c>
      <c r="F10" t="s">
        <v>48</v>
      </c>
      <c r="G10" t="s">
        <v>236</v>
      </c>
      <c r="H10" t="s">
        <v>18</v>
      </c>
      <c r="I10">
        <v>8</v>
      </c>
      <c r="J10">
        <v>10</v>
      </c>
      <c r="K10" t="s">
        <v>15</v>
      </c>
      <c r="L10" t="s">
        <v>88</v>
      </c>
      <c r="M10" t="s">
        <v>371</v>
      </c>
      <c r="N10">
        <v>3</v>
      </c>
      <c r="O10">
        <v>3</v>
      </c>
      <c r="P10">
        <v>2</v>
      </c>
      <c r="Q10">
        <v>2</v>
      </c>
      <c r="R10">
        <v>1</v>
      </c>
      <c r="S10">
        <v>2</v>
      </c>
      <c r="T10">
        <v>2</v>
      </c>
      <c r="U10">
        <v>3</v>
      </c>
      <c r="V10" t="s">
        <v>88</v>
      </c>
    </row>
    <row r="11" spans="1:22">
      <c r="A11" t="s">
        <v>330</v>
      </c>
      <c r="B11">
        <v>10</v>
      </c>
      <c r="C11" t="s">
        <v>206</v>
      </c>
      <c r="D11" t="s">
        <v>347</v>
      </c>
      <c r="E11" t="s">
        <v>359</v>
      </c>
      <c r="F11" t="s">
        <v>30</v>
      </c>
      <c r="G11" t="s">
        <v>363</v>
      </c>
      <c r="H11" t="s">
        <v>19</v>
      </c>
      <c r="I11">
        <v>23</v>
      </c>
      <c r="J11">
        <v>8</v>
      </c>
      <c r="K11" t="s">
        <v>13</v>
      </c>
      <c r="L11" t="s">
        <v>88</v>
      </c>
      <c r="M11" t="s">
        <v>372</v>
      </c>
      <c r="N11">
        <v>6</v>
      </c>
      <c r="O11">
        <v>0</v>
      </c>
      <c r="P11">
        <v>5</v>
      </c>
      <c r="Q11">
        <v>4</v>
      </c>
      <c r="R11">
        <v>3</v>
      </c>
      <c r="S11">
        <v>2</v>
      </c>
      <c r="T11">
        <v>9</v>
      </c>
      <c r="U11">
        <v>2</v>
      </c>
      <c r="V11" t="s">
        <v>88</v>
      </c>
    </row>
    <row r="12" spans="1:22">
      <c r="A12" t="s">
        <v>331</v>
      </c>
      <c r="B12">
        <v>11</v>
      </c>
      <c r="C12" t="s">
        <v>203</v>
      </c>
      <c r="D12" t="s">
        <v>344</v>
      </c>
      <c r="E12" t="s">
        <v>353</v>
      </c>
      <c r="F12" t="s">
        <v>51</v>
      </c>
      <c r="G12" t="s">
        <v>363</v>
      </c>
      <c r="H12" t="s">
        <v>18</v>
      </c>
      <c r="I12">
        <v>16</v>
      </c>
      <c r="J12">
        <v>12</v>
      </c>
      <c r="K12" t="s">
        <v>13</v>
      </c>
      <c r="L12" t="s">
        <v>88</v>
      </c>
      <c r="M12" t="s">
        <v>373</v>
      </c>
      <c r="N12">
        <v>4</v>
      </c>
      <c r="O12">
        <v>1</v>
      </c>
      <c r="P12">
        <v>4</v>
      </c>
      <c r="Q12">
        <v>4</v>
      </c>
      <c r="R12">
        <v>6</v>
      </c>
      <c r="S12">
        <v>2</v>
      </c>
      <c r="T12">
        <v>2</v>
      </c>
      <c r="U12">
        <v>5</v>
      </c>
      <c r="V12" t="s">
        <v>88</v>
      </c>
    </row>
    <row r="13" spans="1:22">
      <c r="A13" t="s">
        <v>332</v>
      </c>
      <c r="B13">
        <v>12</v>
      </c>
      <c r="C13" t="s">
        <v>31</v>
      </c>
      <c r="D13" t="s">
        <v>348</v>
      </c>
      <c r="E13" t="s">
        <v>360</v>
      </c>
      <c r="F13" t="s">
        <v>32</v>
      </c>
      <c r="G13" t="s">
        <v>363</v>
      </c>
      <c r="H13" t="s">
        <v>19</v>
      </c>
      <c r="I13">
        <v>8</v>
      </c>
      <c r="J13">
        <v>8</v>
      </c>
      <c r="K13" t="s">
        <v>14</v>
      </c>
      <c r="L13" t="s">
        <v>89</v>
      </c>
      <c r="V13" t="s">
        <v>89</v>
      </c>
    </row>
    <row r="14" spans="1:22">
      <c r="A14" t="s">
        <v>333</v>
      </c>
      <c r="B14">
        <v>13</v>
      </c>
      <c r="C14" t="s">
        <v>204</v>
      </c>
      <c r="D14" t="s">
        <v>346</v>
      </c>
      <c r="E14" t="s">
        <v>353</v>
      </c>
      <c r="F14" t="s">
        <v>49</v>
      </c>
      <c r="G14" t="s">
        <v>363</v>
      </c>
      <c r="H14" t="s">
        <v>18</v>
      </c>
      <c r="I14">
        <v>9</v>
      </c>
      <c r="J14">
        <v>8</v>
      </c>
      <c r="K14" t="s">
        <v>13</v>
      </c>
      <c r="L14" t="s">
        <v>88</v>
      </c>
      <c r="M14" t="s">
        <v>374</v>
      </c>
      <c r="N14">
        <v>2</v>
      </c>
      <c r="O14">
        <v>2</v>
      </c>
      <c r="P14">
        <v>1</v>
      </c>
      <c r="Q14">
        <v>1</v>
      </c>
      <c r="R14">
        <v>3</v>
      </c>
      <c r="S14">
        <v>2</v>
      </c>
      <c r="T14">
        <v>3</v>
      </c>
      <c r="U14">
        <v>3</v>
      </c>
      <c r="V14" t="s">
        <v>88</v>
      </c>
    </row>
    <row r="15" spans="1:22">
      <c r="A15" t="s">
        <v>334</v>
      </c>
      <c r="B15">
        <v>14</v>
      </c>
      <c r="C15" t="s">
        <v>205</v>
      </c>
      <c r="D15" t="s">
        <v>349</v>
      </c>
      <c r="E15" t="s">
        <v>353</v>
      </c>
      <c r="F15" t="s">
        <v>47</v>
      </c>
      <c r="G15" t="s">
        <v>363</v>
      </c>
      <c r="H15" t="s">
        <v>19</v>
      </c>
      <c r="I15">
        <v>15</v>
      </c>
      <c r="J15">
        <v>11</v>
      </c>
      <c r="K15" t="s">
        <v>13</v>
      </c>
      <c r="L15" t="s">
        <v>88</v>
      </c>
      <c r="M15" t="s">
        <v>375</v>
      </c>
      <c r="N15">
        <v>3</v>
      </c>
      <c r="O15">
        <v>2</v>
      </c>
      <c r="P15">
        <v>4</v>
      </c>
      <c r="Q15">
        <v>2</v>
      </c>
      <c r="R15">
        <v>3</v>
      </c>
      <c r="S15">
        <v>1</v>
      </c>
      <c r="T15">
        <v>5</v>
      </c>
      <c r="U15">
        <v>6</v>
      </c>
      <c r="V15" t="s">
        <v>88</v>
      </c>
    </row>
    <row r="16" spans="1:22">
      <c r="A16" t="s">
        <v>335</v>
      </c>
      <c r="B16">
        <v>15</v>
      </c>
      <c r="C16" t="s">
        <v>207</v>
      </c>
      <c r="D16" t="s">
        <v>344</v>
      </c>
      <c r="E16" t="s">
        <v>353</v>
      </c>
      <c r="F16" t="s">
        <v>44</v>
      </c>
      <c r="G16" t="s">
        <v>363</v>
      </c>
      <c r="H16" t="s">
        <v>18</v>
      </c>
      <c r="I16">
        <v>16</v>
      </c>
      <c r="J16">
        <v>8</v>
      </c>
      <c r="K16" t="s">
        <v>13</v>
      </c>
      <c r="L16" t="s">
        <v>88</v>
      </c>
      <c r="M16" t="s">
        <v>376</v>
      </c>
      <c r="N16">
        <v>4</v>
      </c>
      <c r="O16">
        <v>3</v>
      </c>
      <c r="P16">
        <v>4</v>
      </c>
      <c r="Q16">
        <v>3</v>
      </c>
      <c r="R16">
        <v>5</v>
      </c>
      <c r="S16">
        <v>2</v>
      </c>
      <c r="T16">
        <v>3</v>
      </c>
      <c r="U16">
        <v>0</v>
      </c>
      <c r="V16" t="s">
        <v>88</v>
      </c>
    </row>
    <row r="17" spans="1:22">
      <c r="A17" t="s">
        <v>336</v>
      </c>
      <c r="B17">
        <v>16</v>
      </c>
      <c r="C17" t="s">
        <v>208</v>
      </c>
      <c r="D17" t="s">
        <v>350</v>
      </c>
      <c r="E17" t="s">
        <v>361</v>
      </c>
      <c r="F17" t="s">
        <v>45</v>
      </c>
      <c r="G17" t="s">
        <v>363</v>
      </c>
      <c r="H17" t="s">
        <v>19</v>
      </c>
      <c r="I17">
        <v>13</v>
      </c>
      <c r="J17">
        <v>12</v>
      </c>
      <c r="K17" t="s">
        <v>13</v>
      </c>
      <c r="L17" t="s">
        <v>88</v>
      </c>
      <c r="M17" t="s">
        <v>377</v>
      </c>
      <c r="N17">
        <v>3</v>
      </c>
      <c r="O17">
        <v>4</v>
      </c>
      <c r="P17">
        <v>4</v>
      </c>
      <c r="Q17">
        <v>2</v>
      </c>
      <c r="R17">
        <v>5</v>
      </c>
      <c r="S17">
        <v>3</v>
      </c>
      <c r="T17">
        <v>1</v>
      </c>
      <c r="U17">
        <v>3</v>
      </c>
      <c r="V17" t="s">
        <v>88</v>
      </c>
    </row>
    <row r="18" spans="1:22">
      <c r="A18" t="s">
        <v>337</v>
      </c>
      <c r="B18">
        <v>17</v>
      </c>
      <c r="C18" t="s">
        <v>209</v>
      </c>
      <c r="D18" t="s">
        <v>351</v>
      </c>
      <c r="E18" t="s">
        <v>353</v>
      </c>
      <c r="F18" t="s">
        <v>50</v>
      </c>
      <c r="G18" t="s">
        <v>363</v>
      </c>
      <c r="H18" t="s">
        <v>18</v>
      </c>
      <c r="I18">
        <v>14</v>
      </c>
      <c r="J18">
        <v>10</v>
      </c>
      <c r="K18" t="s">
        <v>13</v>
      </c>
      <c r="L18" t="s">
        <v>88</v>
      </c>
      <c r="M18" t="s">
        <v>378</v>
      </c>
      <c r="N18">
        <v>3</v>
      </c>
      <c r="O18">
        <v>2</v>
      </c>
      <c r="P18">
        <v>3</v>
      </c>
      <c r="Q18">
        <v>3</v>
      </c>
      <c r="R18">
        <v>4</v>
      </c>
      <c r="S18">
        <v>2</v>
      </c>
      <c r="T18">
        <v>4</v>
      </c>
      <c r="U18">
        <v>3</v>
      </c>
      <c r="V18" t="s">
        <v>88</v>
      </c>
    </row>
    <row r="19" spans="1:22">
      <c r="A19" t="s">
        <v>338</v>
      </c>
      <c r="B19">
        <v>18</v>
      </c>
      <c r="C19" t="s">
        <v>210</v>
      </c>
      <c r="D19" t="s">
        <v>352</v>
      </c>
      <c r="E19" t="s">
        <v>362</v>
      </c>
      <c r="F19" t="s">
        <v>48</v>
      </c>
      <c r="G19" t="s">
        <v>363</v>
      </c>
      <c r="H19" t="s">
        <v>19</v>
      </c>
      <c r="I19">
        <v>15</v>
      </c>
      <c r="J19">
        <v>8</v>
      </c>
      <c r="K19" t="s">
        <v>13</v>
      </c>
      <c r="L19" t="s">
        <v>88</v>
      </c>
      <c r="M19" t="s">
        <v>379</v>
      </c>
      <c r="N19">
        <v>3</v>
      </c>
      <c r="O19">
        <v>2</v>
      </c>
      <c r="P19">
        <v>3</v>
      </c>
      <c r="Q19">
        <v>2</v>
      </c>
      <c r="R19">
        <v>6</v>
      </c>
      <c r="S19">
        <v>2</v>
      </c>
      <c r="T19">
        <v>2</v>
      </c>
      <c r="U19">
        <v>2</v>
      </c>
      <c r="V19" t="s">
        <v>88</v>
      </c>
    </row>
  </sheetData>
  <conditionalFormatting sqref="K2:K19">
    <cfRule type="containsText" dxfId="0" priority="1" operator="containsText" text="V">
      <formula>NOT(ISERROR(SEARCH("V",K2)))</formula>
    </cfRule>
    <cfRule type="containsText" dxfId="1" priority="2" operator="containsText" text="P">
      <formula>NOT(ISERROR(SEARCH("P",K2)))</formula>
    </cfRule>
  </conditionalFormatting>
  <conditionalFormatting sqref="L2:L19">
    <cfRule type="containsText" dxfId="2" priority="3" operator="containsText" text="NO">
      <formula>NOT(ISERROR(SEARCH("NO",L2)))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cols>
    <col min="1" max="1" width="27.7109375" customWidth="1"/>
    <col min="2" max="2" width="11.7109375" customWidth="1"/>
    <col min="3" max="4" width="10.7109375" customWidth="1"/>
    <col min="5" max="5" width="20.7109375" customWidth="1"/>
    <col min="6" max="7" width="10.7109375" customWidth="1"/>
  </cols>
  <sheetData>
    <row r="1" spans="1:7">
      <c r="A1" s="7" t="s">
        <v>380</v>
      </c>
      <c r="B1" s="7" t="s">
        <v>381</v>
      </c>
    </row>
    <row r="2" spans="1:7">
      <c r="A2" s="12" t="s">
        <v>382</v>
      </c>
      <c r="B2" s="12">
        <v>18</v>
      </c>
    </row>
    <row r="3" spans="1:7">
      <c r="A3" s="12" t="s">
        <v>3</v>
      </c>
      <c r="B3" s="12">
        <v>13</v>
      </c>
    </row>
    <row r="4" spans="1:7">
      <c r="A4" s="12" t="s">
        <v>4</v>
      </c>
      <c r="B4" s="12">
        <v>1</v>
      </c>
    </row>
    <row r="5" spans="1:7">
      <c r="A5" s="12" t="s">
        <v>5</v>
      </c>
      <c r="B5" s="12">
        <v>4</v>
      </c>
    </row>
    <row r="6" spans="1:7">
      <c r="A6" s="12" t="s">
        <v>6</v>
      </c>
      <c r="B6" s="12">
        <v>232</v>
      </c>
    </row>
    <row r="7" spans="1:7">
      <c r="A7" s="12" t="s">
        <v>7</v>
      </c>
      <c r="B7" s="12">
        <v>182</v>
      </c>
    </row>
    <row r="8" spans="1:7">
      <c r="A8" s="12" t="s">
        <v>383</v>
      </c>
      <c r="B8" s="12">
        <v>50</v>
      </c>
    </row>
    <row r="9" spans="1:7">
      <c r="A9" s="12" t="s">
        <v>384</v>
      </c>
      <c r="B9" s="12">
        <v>12.888889</v>
      </c>
    </row>
    <row r="10" spans="1:7">
      <c r="A10" s="12" t="s">
        <v>385</v>
      </c>
      <c r="B10" s="12">
        <v>10.111111</v>
      </c>
    </row>
    <row r="11" spans="1:7">
      <c r="A11" s="12" t="s">
        <v>386</v>
      </c>
      <c r="B11" s="12">
        <v>16</v>
      </c>
    </row>
    <row r="12" spans="1:7">
      <c r="A12" s="12" t="s">
        <v>22</v>
      </c>
      <c r="B12" s="12">
        <v>2</v>
      </c>
    </row>
    <row r="14" spans="1:7">
      <c r="A14" s="7" t="s">
        <v>12</v>
      </c>
      <c r="B14" s="7" t="s">
        <v>2</v>
      </c>
      <c r="C14" s="7" t="s">
        <v>13</v>
      </c>
      <c r="D14" s="7" t="s">
        <v>14</v>
      </c>
      <c r="E14" s="7" t="s">
        <v>15</v>
      </c>
      <c r="F14" s="7" t="s">
        <v>16</v>
      </c>
      <c r="G14" s="7" t="s">
        <v>17</v>
      </c>
    </row>
    <row r="15" spans="1:7">
      <c r="A15" s="12" t="s">
        <v>18</v>
      </c>
      <c r="B15" s="12">
        <v>9</v>
      </c>
      <c r="C15" s="12">
        <v>6</v>
      </c>
      <c r="D15" s="12">
        <v>0</v>
      </c>
      <c r="E15" s="12">
        <v>3</v>
      </c>
      <c r="F15" s="12">
        <v>112</v>
      </c>
      <c r="G15" s="12">
        <v>92</v>
      </c>
    </row>
    <row r="16" spans="1:7">
      <c r="A16" s="12" t="s">
        <v>19</v>
      </c>
      <c r="B16" s="12">
        <v>9</v>
      </c>
      <c r="C16" s="12">
        <v>7</v>
      </c>
      <c r="D16" s="12">
        <v>1</v>
      </c>
      <c r="E16" s="12">
        <v>1</v>
      </c>
      <c r="F16" s="12">
        <v>120</v>
      </c>
      <c r="G16" s="12">
        <v>90</v>
      </c>
    </row>
    <row r="17" spans="1:7">
      <c r="A17" s="12" t="s">
        <v>20</v>
      </c>
      <c r="B17" s="12">
        <v>9</v>
      </c>
      <c r="C17" s="12">
        <v>5</v>
      </c>
      <c r="D17" s="12">
        <v>0</v>
      </c>
      <c r="E17" s="12">
        <v>4</v>
      </c>
      <c r="F17" s="12">
        <v>103</v>
      </c>
      <c r="G17" s="12">
        <v>97</v>
      </c>
    </row>
    <row r="18" spans="1:7">
      <c r="A18" s="12" t="s">
        <v>21</v>
      </c>
      <c r="B18" s="12">
        <v>9</v>
      </c>
      <c r="C18" s="12">
        <v>8</v>
      </c>
      <c r="D18" s="12">
        <v>1</v>
      </c>
      <c r="E18" s="12">
        <v>0</v>
      </c>
      <c r="F18" s="12">
        <v>129</v>
      </c>
      <c r="G18" s="12">
        <v>85</v>
      </c>
    </row>
    <row r="20" spans="1:7">
      <c r="A20" s="7" t="s">
        <v>387</v>
      </c>
      <c r="B20" s="7" t="s">
        <v>388</v>
      </c>
      <c r="C20" s="7" t="s">
        <v>16</v>
      </c>
      <c r="D20" s="7" t="s">
        <v>17</v>
      </c>
      <c r="E20" s="7" t="s">
        <v>241</v>
      </c>
    </row>
    <row r="21" spans="1:7">
      <c r="A21" s="12">
        <v>1</v>
      </c>
      <c r="B21" s="12" t="s">
        <v>13</v>
      </c>
      <c r="C21" s="12">
        <v>13</v>
      </c>
      <c r="D21" s="12">
        <v>10</v>
      </c>
      <c r="E21" s="12" t="s">
        <v>30</v>
      </c>
    </row>
    <row r="22" spans="1:7">
      <c r="A22" s="12">
        <v>2</v>
      </c>
      <c r="B22" s="12" t="s">
        <v>13</v>
      </c>
      <c r="C22" s="12">
        <v>14</v>
      </c>
      <c r="D22" s="12">
        <v>11</v>
      </c>
      <c r="E22" s="12" t="s">
        <v>51</v>
      </c>
    </row>
    <row r="23" spans="1:7">
      <c r="A23" s="12">
        <v>3</v>
      </c>
      <c r="B23" s="12" t="s">
        <v>13</v>
      </c>
      <c r="C23" s="12">
        <v>15</v>
      </c>
      <c r="D23" s="12">
        <v>10</v>
      </c>
      <c r="E23" s="12" t="s">
        <v>32</v>
      </c>
    </row>
    <row r="24" spans="1:7">
      <c r="A24" s="12">
        <v>4</v>
      </c>
      <c r="B24" s="12" t="s">
        <v>13</v>
      </c>
      <c r="C24" s="12">
        <v>13</v>
      </c>
      <c r="D24" s="12">
        <v>10</v>
      </c>
      <c r="E24" s="12" t="s">
        <v>49</v>
      </c>
    </row>
    <row r="25" spans="1:7">
      <c r="A25" s="12">
        <v>5</v>
      </c>
      <c r="B25" s="12" t="s">
        <v>15</v>
      </c>
      <c r="C25" s="12">
        <v>11</v>
      </c>
      <c r="D25" s="12">
        <v>13</v>
      </c>
      <c r="E25" s="12" t="s">
        <v>47</v>
      </c>
    </row>
    <row r="26" spans="1:7">
      <c r="A26" s="12">
        <v>6</v>
      </c>
      <c r="B26" s="12" t="s">
        <v>15</v>
      </c>
      <c r="C26" s="12">
        <v>7</v>
      </c>
      <c r="D26" s="12">
        <v>13</v>
      </c>
      <c r="E26" s="12" t="s">
        <v>44</v>
      </c>
    </row>
    <row r="27" spans="1:7">
      <c r="A27" s="12">
        <v>7</v>
      </c>
      <c r="B27" s="12" t="s">
        <v>15</v>
      </c>
      <c r="C27" s="12">
        <v>10</v>
      </c>
      <c r="D27" s="12">
        <v>11</v>
      </c>
      <c r="E27" s="12" t="s">
        <v>45</v>
      </c>
    </row>
    <row r="28" spans="1:7">
      <c r="A28" s="12">
        <v>8</v>
      </c>
      <c r="B28" s="12" t="s">
        <v>13</v>
      </c>
      <c r="C28" s="12">
        <v>12</v>
      </c>
      <c r="D28" s="12">
        <v>9</v>
      </c>
      <c r="E28" s="12" t="s">
        <v>50</v>
      </c>
    </row>
    <row r="29" spans="1:7">
      <c r="A29" s="12">
        <v>9</v>
      </c>
      <c r="B29" s="12" t="s">
        <v>15</v>
      </c>
      <c r="C29" s="12">
        <v>8</v>
      </c>
      <c r="D29" s="12">
        <v>10</v>
      </c>
      <c r="E29" s="12" t="s">
        <v>48</v>
      </c>
    </row>
    <row r="30" spans="1:7">
      <c r="A30" s="12">
        <v>10</v>
      </c>
      <c r="B30" s="12" t="s">
        <v>13</v>
      </c>
      <c r="C30" s="12">
        <v>23</v>
      </c>
      <c r="D30" s="12">
        <v>8</v>
      </c>
      <c r="E30" s="12" t="s">
        <v>30</v>
      </c>
    </row>
    <row r="31" spans="1:7">
      <c r="A31" s="12">
        <v>11</v>
      </c>
      <c r="B31" s="12" t="s">
        <v>13</v>
      </c>
      <c r="C31" s="12">
        <v>16</v>
      </c>
      <c r="D31" s="12">
        <v>12</v>
      </c>
      <c r="E31" s="12" t="s">
        <v>51</v>
      </c>
    </row>
    <row r="32" spans="1:7">
      <c r="A32" s="12">
        <v>12</v>
      </c>
      <c r="B32" s="12" t="s">
        <v>14</v>
      </c>
      <c r="C32" s="12">
        <v>8</v>
      </c>
      <c r="D32" s="12">
        <v>8</v>
      </c>
      <c r="E32" s="12" t="s">
        <v>32</v>
      </c>
    </row>
    <row r="33" spans="1:5">
      <c r="A33" s="12">
        <v>13</v>
      </c>
      <c r="B33" s="12" t="s">
        <v>13</v>
      </c>
      <c r="C33" s="12">
        <v>9</v>
      </c>
      <c r="D33" s="12">
        <v>8</v>
      </c>
      <c r="E33" s="12" t="s">
        <v>49</v>
      </c>
    </row>
    <row r="34" spans="1:5">
      <c r="A34" s="12">
        <v>14</v>
      </c>
      <c r="B34" s="12" t="s">
        <v>13</v>
      </c>
      <c r="C34" s="12">
        <v>15</v>
      </c>
      <c r="D34" s="12">
        <v>11</v>
      </c>
      <c r="E34" s="12" t="s">
        <v>47</v>
      </c>
    </row>
    <row r="35" spans="1:5">
      <c r="A35" s="12">
        <v>15</v>
      </c>
      <c r="B35" s="12" t="s">
        <v>13</v>
      </c>
      <c r="C35" s="12">
        <v>16</v>
      </c>
      <c r="D35" s="12">
        <v>8</v>
      </c>
      <c r="E35" s="12" t="s">
        <v>44</v>
      </c>
    </row>
    <row r="36" spans="1:5">
      <c r="A36" s="12">
        <v>16</v>
      </c>
      <c r="B36" s="12" t="s">
        <v>13</v>
      </c>
      <c r="C36" s="12">
        <v>13</v>
      </c>
      <c r="D36" s="12">
        <v>12</v>
      </c>
      <c r="E36" s="12" t="s">
        <v>45</v>
      </c>
    </row>
    <row r="37" spans="1:5">
      <c r="A37" s="12">
        <v>17</v>
      </c>
      <c r="B37" s="12" t="s">
        <v>13</v>
      </c>
      <c r="C37" s="12">
        <v>14</v>
      </c>
      <c r="D37" s="12">
        <v>10</v>
      </c>
      <c r="E37" s="12" t="s">
        <v>50</v>
      </c>
    </row>
    <row r="38" spans="1:5">
      <c r="A38" s="12">
        <v>18</v>
      </c>
      <c r="B38" s="12" t="s">
        <v>13</v>
      </c>
      <c r="C38" s="12">
        <v>15</v>
      </c>
      <c r="D38" s="12">
        <v>8</v>
      </c>
      <c r="E38" s="12" t="s">
        <v>48</v>
      </c>
    </row>
    <row r="40" spans="1:5">
      <c r="A40" s="7" t="s">
        <v>389</v>
      </c>
      <c r="B40" s="7" t="s">
        <v>34</v>
      </c>
      <c r="C40" s="7" t="s">
        <v>35</v>
      </c>
      <c r="D40" s="7" t="s">
        <v>390</v>
      </c>
    </row>
    <row r="41" spans="1:5">
      <c r="A41" s="12" t="s">
        <v>36</v>
      </c>
      <c r="B41" s="12">
        <v>36</v>
      </c>
      <c r="C41" s="12">
        <v>22</v>
      </c>
      <c r="D41" s="12">
        <v>14</v>
      </c>
    </row>
    <row r="42" spans="1:5">
      <c r="A42" s="12" t="s">
        <v>37</v>
      </c>
      <c r="B42" s="12">
        <v>36</v>
      </c>
      <c r="C42" s="12">
        <v>28</v>
      </c>
      <c r="D42" s="12">
        <v>8</v>
      </c>
    </row>
    <row r="43" spans="1:5">
      <c r="A43" s="12" t="s">
        <v>38</v>
      </c>
      <c r="B43" s="12">
        <v>41</v>
      </c>
      <c r="C43" s="12">
        <v>26</v>
      </c>
      <c r="D43" s="12">
        <v>15</v>
      </c>
    </row>
    <row r="44" spans="1:5">
      <c r="A44" s="12" t="s">
        <v>39</v>
      </c>
      <c r="B44" s="12">
        <v>37</v>
      </c>
      <c r="C44" s="12">
        <v>30</v>
      </c>
      <c r="D44" s="12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0.7109375" customWidth="1"/>
    <col min="3" max="3" width="12.7109375" customWidth="1"/>
    <col min="4" max="4" width="20.7109375" customWidth="1"/>
    <col min="5" max="5" width="16.7109375" customWidth="1"/>
    <col min="6" max="6" width="7.7109375" customWidth="1"/>
    <col min="7" max="7" width="11.7109375" customWidth="1"/>
    <col min="8" max="8" width="12.7109375" customWidth="1"/>
    <col min="9" max="9" width="10.7109375" customWidth="1"/>
    <col min="10" max="10" width="11.7109375" customWidth="1"/>
    <col min="11" max="11" width="14.7109375" customWidth="1"/>
    <col min="12" max="12" width="15.7109375" customWidth="1"/>
    <col min="13" max="13" width="17.7109375" customWidth="1"/>
    <col min="14" max="17" width="14.7109375" style="16" customWidth="1"/>
    <col min="18" max="18" width="22.7109375" customWidth="1"/>
    <col min="19" max="19" width="21.7109375" customWidth="1"/>
    <col min="20" max="20" width="17.7109375" customWidth="1"/>
    <col min="21" max="21" width="11.7109375" customWidth="1"/>
    <col min="22" max="22" width="18.7109375" customWidth="1"/>
  </cols>
  <sheetData>
    <row r="1" spans="1:22">
      <c r="A1" s="15" t="s">
        <v>305</v>
      </c>
      <c r="B1" s="15" t="s">
        <v>23</v>
      </c>
      <c r="C1" s="15" t="s">
        <v>24</v>
      </c>
      <c r="D1" s="15" t="s">
        <v>25</v>
      </c>
      <c r="E1" s="15" t="s">
        <v>26</v>
      </c>
      <c r="F1" s="15" t="s">
        <v>309</v>
      </c>
      <c r="G1" s="15" t="s">
        <v>391</v>
      </c>
      <c r="H1" s="15" t="s">
        <v>392</v>
      </c>
      <c r="I1" s="15" t="s">
        <v>393</v>
      </c>
      <c r="J1" s="15" t="s">
        <v>394</v>
      </c>
      <c r="K1" s="15" t="s">
        <v>395</v>
      </c>
      <c r="L1" s="15" t="s">
        <v>396</v>
      </c>
      <c r="M1" s="15" t="s">
        <v>397</v>
      </c>
      <c r="N1" s="15" t="s">
        <v>398</v>
      </c>
      <c r="O1" s="15" t="s">
        <v>399</v>
      </c>
      <c r="P1" s="15" t="s">
        <v>400</v>
      </c>
      <c r="Q1" s="15" t="s">
        <v>401</v>
      </c>
      <c r="R1" s="15" t="s">
        <v>402</v>
      </c>
      <c r="S1" s="15" t="s">
        <v>403</v>
      </c>
      <c r="T1" s="15" t="s">
        <v>404</v>
      </c>
      <c r="U1" s="15" t="s">
        <v>405</v>
      </c>
      <c r="V1" s="15" t="s">
        <v>406</v>
      </c>
    </row>
    <row r="2" spans="1:22">
      <c r="A2" t="s">
        <v>322</v>
      </c>
      <c r="B2">
        <v>2</v>
      </c>
      <c r="C2" t="s">
        <v>195</v>
      </c>
      <c r="D2" t="s">
        <v>51</v>
      </c>
      <c r="E2" t="s">
        <v>19</v>
      </c>
      <c r="F2" t="s">
        <v>13</v>
      </c>
      <c r="G2">
        <v>14</v>
      </c>
      <c r="H2">
        <v>11</v>
      </c>
      <c r="I2">
        <v>2</v>
      </c>
      <c r="J2">
        <v>1</v>
      </c>
      <c r="K2">
        <v>4</v>
      </c>
      <c r="L2">
        <v>0</v>
      </c>
      <c r="M2">
        <v>1</v>
      </c>
    </row>
    <row r="3" spans="1:22">
      <c r="A3" t="s">
        <v>323</v>
      </c>
      <c r="B3">
        <v>3</v>
      </c>
      <c r="C3" t="s">
        <v>196</v>
      </c>
      <c r="D3" t="s">
        <v>32</v>
      </c>
      <c r="E3" t="s">
        <v>18</v>
      </c>
      <c r="F3" t="s">
        <v>13</v>
      </c>
      <c r="G3">
        <v>15</v>
      </c>
      <c r="H3">
        <v>10</v>
      </c>
      <c r="I3">
        <v>1</v>
      </c>
      <c r="J3">
        <v>4</v>
      </c>
      <c r="K3">
        <v>2</v>
      </c>
      <c r="L3">
        <v>3</v>
      </c>
      <c r="M3">
        <v>2</v>
      </c>
    </row>
    <row r="4" spans="1:22">
      <c r="A4" t="s">
        <v>324</v>
      </c>
      <c r="B4">
        <v>4</v>
      </c>
      <c r="C4" t="s">
        <v>197</v>
      </c>
      <c r="D4" t="s">
        <v>49</v>
      </c>
      <c r="E4" t="s">
        <v>19</v>
      </c>
      <c r="F4" t="s">
        <v>13</v>
      </c>
      <c r="G4">
        <v>13</v>
      </c>
      <c r="H4">
        <v>10</v>
      </c>
      <c r="I4">
        <v>0</v>
      </c>
      <c r="J4">
        <v>0</v>
      </c>
      <c r="K4">
        <v>5</v>
      </c>
      <c r="L4">
        <v>0</v>
      </c>
      <c r="M4">
        <v>2</v>
      </c>
    </row>
    <row r="5" spans="1:22">
      <c r="A5" t="s">
        <v>325</v>
      </c>
      <c r="B5">
        <v>5</v>
      </c>
      <c r="C5" t="s">
        <v>198</v>
      </c>
      <c r="D5" t="s">
        <v>47</v>
      </c>
      <c r="E5" t="s">
        <v>18</v>
      </c>
      <c r="F5" t="s">
        <v>15</v>
      </c>
      <c r="G5">
        <v>11</v>
      </c>
      <c r="H5">
        <v>13</v>
      </c>
      <c r="I5">
        <v>5</v>
      </c>
      <c r="J5">
        <v>2</v>
      </c>
      <c r="K5">
        <v>1</v>
      </c>
      <c r="L5">
        <v>1</v>
      </c>
      <c r="M5">
        <v>3</v>
      </c>
      <c r="N5" s="16">
        <v>0.333333</v>
      </c>
      <c r="O5" s="16">
        <v>0.285714</v>
      </c>
      <c r="P5" s="16">
        <v>1</v>
      </c>
      <c r="Q5" s="16">
        <v>1</v>
      </c>
      <c r="R5">
        <v>0.185185</v>
      </c>
      <c r="S5">
        <v>0.354839</v>
      </c>
      <c r="T5">
        <v>8</v>
      </c>
      <c r="U5">
        <v>4</v>
      </c>
    </row>
    <row r="6" spans="1:22">
      <c r="A6" t="s">
        <v>326</v>
      </c>
      <c r="B6">
        <v>6</v>
      </c>
      <c r="C6" t="s">
        <v>199</v>
      </c>
      <c r="D6" t="s">
        <v>44</v>
      </c>
      <c r="E6" t="s">
        <v>19</v>
      </c>
      <c r="F6" t="s">
        <v>15</v>
      </c>
      <c r="G6">
        <v>7</v>
      </c>
      <c r="H6">
        <v>13</v>
      </c>
      <c r="I6">
        <v>1</v>
      </c>
      <c r="J6">
        <v>4</v>
      </c>
      <c r="K6">
        <v>2</v>
      </c>
      <c r="L6">
        <v>1</v>
      </c>
      <c r="M6">
        <v>3</v>
      </c>
      <c r="N6" s="16">
        <v>0.111111</v>
      </c>
      <c r="O6" s="16">
        <v>0.333333</v>
      </c>
      <c r="P6" s="16">
        <v>0.666667</v>
      </c>
      <c r="Q6" s="16">
        <v>1</v>
      </c>
      <c r="R6">
        <v>0.25</v>
      </c>
      <c r="S6">
        <v>0.25</v>
      </c>
      <c r="T6">
        <v>5</v>
      </c>
      <c r="U6">
        <v>2</v>
      </c>
    </row>
    <row r="7" spans="1:22">
      <c r="A7" t="s">
        <v>327</v>
      </c>
      <c r="B7">
        <v>7</v>
      </c>
      <c r="C7" t="s">
        <v>200</v>
      </c>
      <c r="D7" t="s">
        <v>45</v>
      </c>
      <c r="E7" t="s">
        <v>18</v>
      </c>
      <c r="F7" t="s">
        <v>15</v>
      </c>
      <c r="G7">
        <v>10</v>
      </c>
      <c r="H7">
        <v>11</v>
      </c>
      <c r="I7">
        <v>1</v>
      </c>
      <c r="J7">
        <v>2</v>
      </c>
      <c r="K7">
        <v>4</v>
      </c>
      <c r="L7">
        <v>0</v>
      </c>
      <c r="M7">
        <v>2</v>
      </c>
      <c r="N7" s="16">
        <v>0.111111</v>
      </c>
      <c r="O7" s="16">
        <v>0.25</v>
      </c>
      <c r="P7" s="16">
        <v>0.571429</v>
      </c>
      <c r="Q7" s="16">
        <v>0</v>
      </c>
      <c r="R7">
        <v>0.413793</v>
      </c>
      <c r="S7">
        <v>0.30303</v>
      </c>
      <c r="T7">
        <v>3</v>
      </c>
      <c r="U7">
        <v>3</v>
      </c>
    </row>
    <row r="8" spans="1:22">
      <c r="A8" t="s">
        <v>328</v>
      </c>
      <c r="B8">
        <v>8</v>
      </c>
      <c r="C8" t="s">
        <v>201</v>
      </c>
      <c r="D8" t="s">
        <v>50</v>
      </c>
      <c r="E8" t="s">
        <v>19</v>
      </c>
      <c r="F8" t="s">
        <v>13</v>
      </c>
      <c r="G8">
        <v>12</v>
      </c>
      <c r="H8">
        <v>9</v>
      </c>
      <c r="I8">
        <v>7</v>
      </c>
      <c r="J8">
        <v>2</v>
      </c>
      <c r="K8">
        <v>0</v>
      </c>
      <c r="L8">
        <v>0</v>
      </c>
      <c r="M8">
        <v>2</v>
      </c>
      <c r="N8" s="16">
        <v>0.7</v>
      </c>
      <c r="O8" s="16">
        <v>0.333333</v>
      </c>
      <c r="P8" s="16">
        <v>0</v>
      </c>
      <c r="Q8" s="16">
        <v>0</v>
      </c>
      <c r="R8">
        <v>0.285714</v>
      </c>
      <c r="S8">
        <v>0.363636</v>
      </c>
      <c r="T8">
        <v>10</v>
      </c>
      <c r="U8">
        <v>6</v>
      </c>
      <c r="V8">
        <v>7</v>
      </c>
    </row>
    <row r="9" spans="1:22">
      <c r="A9" t="s">
        <v>329</v>
      </c>
      <c r="B9">
        <v>9</v>
      </c>
      <c r="C9" t="s">
        <v>202</v>
      </c>
      <c r="D9" t="s">
        <v>48</v>
      </c>
      <c r="E9" t="s">
        <v>18</v>
      </c>
      <c r="F9" t="s">
        <v>15</v>
      </c>
      <c r="G9">
        <v>8</v>
      </c>
      <c r="H9">
        <v>10</v>
      </c>
      <c r="I9">
        <v>5</v>
      </c>
      <c r="J9">
        <v>4</v>
      </c>
      <c r="K9">
        <v>1</v>
      </c>
      <c r="L9">
        <v>1</v>
      </c>
      <c r="M9">
        <v>3</v>
      </c>
      <c r="N9" s="16">
        <v>0.625</v>
      </c>
      <c r="O9" s="16">
        <v>0.5</v>
      </c>
      <c r="P9" s="16">
        <v>1</v>
      </c>
      <c r="Q9" s="16">
        <v>1</v>
      </c>
      <c r="R9">
        <v>0.266667</v>
      </c>
      <c r="S9">
        <v>0.258065</v>
      </c>
      <c r="T9">
        <v>9</v>
      </c>
      <c r="U9">
        <v>3</v>
      </c>
      <c r="V9">
        <v>2</v>
      </c>
    </row>
    <row r="10" spans="1:22">
      <c r="A10" t="s">
        <v>330</v>
      </c>
      <c r="B10">
        <v>10</v>
      </c>
      <c r="C10" t="s">
        <v>206</v>
      </c>
      <c r="D10" t="s">
        <v>30</v>
      </c>
      <c r="E10" t="s">
        <v>19</v>
      </c>
      <c r="F10" t="s">
        <v>13</v>
      </c>
      <c r="G10">
        <v>23</v>
      </c>
      <c r="H10">
        <v>8</v>
      </c>
      <c r="I10">
        <v>1</v>
      </c>
      <c r="J10">
        <v>5</v>
      </c>
      <c r="K10">
        <v>2</v>
      </c>
      <c r="M10">
        <v>4</v>
      </c>
      <c r="N10" s="16">
        <v>0.2</v>
      </c>
      <c r="O10" s="16">
        <v>0.384615</v>
      </c>
      <c r="P10" s="16">
        <v>1</v>
      </c>
      <c r="Q10" s="16">
        <v>0</v>
      </c>
      <c r="R10">
        <v>0.228571</v>
      </c>
      <c r="S10">
        <v>0.676471</v>
      </c>
      <c r="T10">
        <v>5</v>
      </c>
      <c r="U10">
        <v>5</v>
      </c>
      <c r="V10">
        <v>4</v>
      </c>
    </row>
    <row r="11" spans="1:22">
      <c r="A11" t="s">
        <v>331</v>
      </c>
      <c r="B11">
        <v>11</v>
      </c>
      <c r="C11" t="s">
        <v>203</v>
      </c>
      <c r="D11" t="s">
        <v>51</v>
      </c>
      <c r="E11" t="s">
        <v>18</v>
      </c>
      <c r="F11" t="s">
        <v>13</v>
      </c>
      <c r="G11">
        <v>16</v>
      </c>
      <c r="H11">
        <v>12</v>
      </c>
      <c r="I11">
        <v>4</v>
      </c>
      <c r="J11">
        <v>2</v>
      </c>
      <c r="K11">
        <v>2</v>
      </c>
      <c r="L11">
        <v>0</v>
      </c>
      <c r="M11">
        <v>3</v>
      </c>
      <c r="N11" s="16">
        <v>0.333333</v>
      </c>
      <c r="O11" s="16">
        <v>0.25</v>
      </c>
      <c r="P11" s="16">
        <v>1</v>
      </c>
      <c r="Q11" s="16">
        <v>0</v>
      </c>
      <c r="R11">
        <v>0.257143</v>
      </c>
      <c r="S11">
        <v>0.470588</v>
      </c>
      <c r="T11">
        <v>8</v>
      </c>
      <c r="U11">
        <v>6</v>
      </c>
      <c r="V11">
        <v>2</v>
      </c>
    </row>
    <row r="12" spans="1:22">
      <c r="A12" t="s">
        <v>333</v>
      </c>
      <c r="B12">
        <v>13</v>
      </c>
      <c r="C12" t="s">
        <v>204</v>
      </c>
      <c r="D12" t="s">
        <v>49</v>
      </c>
      <c r="E12" t="s">
        <v>18</v>
      </c>
      <c r="F12" t="s">
        <v>13</v>
      </c>
      <c r="G12">
        <v>9</v>
      </c>
      <c r="H12">
        <v>8</v>
      </c>
      <c r="I12">
        <v>4</v>
      </c>
      <c r="J12">
        <v>2</v>
      </c>
      <c r="K12">
        <v>2</v>
      </c>
      <c r="L12">
        <v>1</v>
      </c>
      <c r="M12">
        <v>1</v>
      </c>
      <c r="N12" s="16">
        <v>0.363636</v>
      </c>
      <c r="O12" s="16">
        <v>0.25</v>
      </c>
      <c r="P12" s="16">
        <v>0.666667</v>
      </c>
      <c r="Q12" s="16">
        <v>1</v>
      </c>
      <c r="R12">
        <v>0.24</v>
      </c>
      <c r="S12">
        <v>0.346154</v>
      </c>
      <c r="T12">
        <v>8</v>
      </c>
      <c r="U12">
        <v>3</v>
      </c>
      <c r="V12">
        <v>3</v>
      </c>
    </row>
    <row r="13" spans="1:22">
      <c r="A13" t="s">
        <v>334</v>
      </c>
      <c r="B13">
        <v>14</v>
      </c>
      <c r="C13" t="s">
        <v>205</v>
      </c>
      <c r="D13" t="s">
        <v>47</v>
      </c>
      <c r="E13" t="s">
        <v>19</v>
      </c>
      <c r="F13" t="s">
        <v>13</v>
      </c>
      <c r="G13">
        <v>15</v>
      </c>
      <c r="H13">
        <v>11</v>
      </c>
      <c r="I13">
        <v>4</v>
      </c>
      <c r="J13">
        <v>3</v>
      </c>
      <c r="K13">
        <v>3</v>
      </c>
      <c r="L13">
        <v>1</v>
      </c>
      <c r="M13">
        <v>3</v>
      </c>
      <c r="N13" s="16">
        <v>0.333333</v>
      </c>
      <c r="O13" s="16">
        <v>0.25</v>
      </c>
      <c r="P13" s="16">
        <v>0.5</v>
      </c>
      <c r="Q13" s="16">
        <v>1</v>
      </c>
      <c r="R13">
        <v>0.322581</v>
      </c>
      <c r="S13">
        <v>0.375</v>
      </c>
      <c r="T13">
        <v>4</v>
      </c>
      <c r="U13">
        <v>6</v>
      </c>
      <c r="V13">
        <v>9</v>
      </c>
    </row>
    <row r="14" spans="1:22">
      <c r="A14" t="s">
        <v>335</v>
      </c>
      <c r="B14">
        <v>15</v>
      </c>
      <c r="C14" t="s">
        <v>207</v>
      </c>
      <c r="D14" t="s">
        <v>44</v>
      </c>
      <c r="E14" t="s">
        <v>18</v>
      </c>
      <c r="F14" t="s">
        <v>13</v>
      </c>
      <c r="G14">
        <v>16</v>
      </c>
      <c r="H14">
        <v>8</v>
      </c>
      <c r="I14">
        <v>6</v>
      </c>
      <c r="J14">
        <v>3</v>
      </c>
      <c r="K14">
        <v>2</v>
      </c>
      <c r="L14">
        <v>0</v>
      </c>
      <c r="M14">
        <v>2</v>
      </c>
      <c r="N14" s="16">
        <v>0.6</v>
      </c>
      <c r="O14" s="16">
        <v>0.25</v>
      </c>
      <c r="P14" s="16">
        <v>0.666667</v>
      </c>
      <c r="Q14" s="16">
        <v>0</v>
      </c>
      <c r="R14">
        <v>0.214286</v>
      </c>
      <c r="S14">
        <v>0.551724</v>
      </c>
      <c r="T14">
        <v>7</v>
      </c>
      <c r="U14">
        <v>2</v>
      </c>
      <c r="V14">
        <v>6</v>
      </c>
    </row>
    <row r="15" spans="1:22">
      <c r="A15" t="s">
        <v>336</v>
      </c>
      <c r="B15">
        <v>16</v>
      </c>
      <c r="C15" t="s">
        <v>208</v>
      </c>
      <c r="D15" t="s">
        <v>45</v>
      </c>
      <c r="E15" t="s">
        <v>19</v>
      </c>
      <c r="F15" t="s">
        <v>13</v>
      </c>
      <c r="G15">
        <v>13</v>
      </c>
      <c r="H15">
        <v>12</v>
      </c>
      <c r="I15">
        <v>2</v>
      </c>
      <c r="J15">
        <v>4</v>
      </c>
      <c r="K15">
        <v>0</v>
      </c>
      <c r="L15">
        <v>0</v>
      </c>
      <c r="M15">
        <v>0</v>
      </c>
      <c r="N15" s="16">
        <v>0.166667</v>
      </c>
      <c r="O15" s="16">
        <v>0.363636</v>
      </c>
      <c r="P15" s="16">
        <v>0</v>
      </c>
      <c r="Q15" s="16">
        <v>0</v>
      </c>
      <c r="R15">
        <v>0.28125</v>
      </c>
      <c r="S15">
        <v>0.419355</v>
      </c>
      <c r="T15">
        <v>3</v>
      </c>
      <c r="U15">
        <v>1</v>
      </c>
      <c r="V15">
        <v>8</v>
      </c>
    </row>
    <row r="16" spans="1:22">
      <c r="A16" t="s">
        <v>337</v>
      </c>
      <c r="B16">
        <v>17</v>
      </c>
      <c r="C16" t="s">
        <v>209</v>
      </c>
      <c r="D16" t="s">
        <v>50</v>
      </c>
      <c r="E16" t="s">
        <v>18</v>
      </c>
      <c r="F16" t="s">
        <v>13</v>
      </c>
      <c r="G16">
        <v>14</v>
      </c>
      <c r="H16">
        <v>10</v>
      </c>
      <c r="I16">
        <v>1</v>
      </c>
      <c r="J16">
        <v>1</v>
      </c>
      <c r="K16">
        <v>2</v>
      </c>
      <c r="L16">
        <v>0</v>
      </c>
      <c r="M16">
        <v>4</v>
      </c>
      <c r="N16" s="16">
        <v>0.5</v>
      </c>
      <c r="O16" s="16">
        <v>0.5</v>
      </c>
      <c r="P16" s="16">
        <v>0.5</v>
      </c>
      <c r="Q16" s="16">
        <v>0</v>
      </c>
      <c r="R16">
        <v>0.410256</v>
      </c>
      <c r="S16">
        <v>0.411765</v>
      </c>
      <c r="T16">
        <v>3</v>
      </c>
      <c r="U16">
        <v>6</v>
      </c>
      <c r="V16">
        <v>2</v>
      </c>
    </row>
    <row r="17" spans="1:22">
      <c r="A17" t="s">
        <v>338</v>
      </c>
      <c r="B17">
        <v>18</v>
      </c>
      <c r="C17" t="s">
        <v>210</v>
      </c>
      <c r="D17" t="s">
        <v>48</v>
      </c>
      <c r="E17" t="s">
        <v>19</v>
      </c>
      <c r="F17" t="s">
        <v>13</v>
      </c>
      <c r="G17">
        <v>15</v>
      </c>
      <c r="H17">
        <v>8</v>
      </c>
      <c r="I17">
        <v>6</v>
      </c>
      <c r="J17">
        <v>2</v>
      </c>
      <c r="K17">
        <v>3</v>
      </c>
      <c r="L17">
        <v>1</v>
      </c>
      <c r="M17">
        <v>3</v>
      </c>
      <c r="N17" s="16">
        <v>0.461538</v>
      </c>
      <c r="O17" s="16">
        <v>0.2</v>
      </c>
      <c r="P17" s="16">
        <v>1</v>
      </c>
      <c r="Q17" s="16">
        <v>1</v>
      </c>
      <c r="R17">
        <v>0.241379</v>
      </c>
      <c r="S17">
        <v>0.405405</v>
      </c>
      <c r="T17">
        <v>5</v>
      </c>
      <c r="U17">
        <v>5</v>
      </c>
      <c r="V17">
        <v>5</v>
      </c>
    </row>
  </sheetData>
  <conditionalFormatting sqref="F2:F17">
    <cfRule type="containsText" dxfId="0" priority="1" operator="containsText" text="V">
      <formula>NOT(ISERROR(SEARCH("V",F2)))</formula>
    </cfRule>
    <cfRule type="containsText" dxfId="1" priority="2" operator="containsText" text="P">
      <formula>NOT(ISERROR(SEARCH("P",F2)))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U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5.7109375" customWidth="1"/>
    <col min="3" max="3" width="11.7109375" customWidth="1"/>
    <col min="4" max="4" width="13.7109375" customWidth="1"/>
    <col min="5" max="5" width="6.7109375" customWidth="1"/>
    <col min="6" max="6" width="12.7109375" customWidth="1"/>
    <col min="7" max="7" width="22.7109375" customWidth="1"/>
    <col min="8" max="8" width="7.7109375" customWidth="1"/>
    <col min="9" max="9" width="13.7109375" customWidth="1"/>
    <col min="10" max="10" width="24.7109375" customWidth="1"/>
    <col min="11" max="11" width="20.7109375" customWidth="1"/>
    <col min="12" max="12" width="25.7109375" customWidth="1"/>
    <col min="13" max="13" width="9.140625" style="17"/>
    <col min="14" max="14" width="12.7109375" style="18" customWidth="1"/>
    <col min="15" max="15" width="9.140625" style="17"/>
    <col min="16" max="16" width="12.7109375" style="18" customWidth="1"/>
    <col min="17" max="17" width="9.140625" style="17"/>
    <col min="18" max="18" width="12.7109375" style="18" customWidth="1"/>
    <col min="19" max="19" width="9.140625" style="17"/>
    <col min="20" max="20" width="12.7109375" style="18" customWidth="1"/>
    <col min="21" max="21" width="12.7109375" customWidth="1"/>
    <col min="22" max="22" width="12.7109375" style="18" customWidth="1"/>
    <col min="23" max="23" width="12.7109375" customWidth="1"/>
    <col min="24" max="24" width="12.7109375" style="18" customWidth="1"/>
    <col min="25" max="25" width="9.140625" style="17"/>
    <col min="26" max="26" width="12.7109375" style="18" customWidth="1"/>
    <col min="27" max="27" width="12.7109375" customWidth="1"/>
    <col min="28" max="28" width="12.7109375" style="18" customWidth="1"/>
    <col min="29" max="29" width="12.7109375" customWidth="1"/>
    <col min="30" max="30" width="12.7109375" style="18" customWidth="1"/>
    <col min="31" max="38" width="9.140625" style="19"/>
    <col min="39" max="41" width="14.7109375" style="16" customWidth="1"/>
    <col min="42" max="43" width="20.7109375" customWidth="1"/>
    <col min="44" max="44" width="27.7109375" customWidth="1"/>
    <col min="45" max="46" width="12.7109375" style="18" customWidth="1"/>
    <col min="47" max="47" width="26.7109375" customWidth="1"/>
  </cols>
  <sheetData>
    <row r="1" spans="1:47">
      <c r="A1" s="15" t="s">
        <v>57</v>
      </c>
      <c r="B1" s="15" t="s">
        <v>132</v>
      </c>
      <c r="C1" s="15" t="s">
        <v>133</v>
      </c>
      <c r="D1" s="15" t="s">
        <v>134</v>
      </c>
      <c r="E1" s="15" t="s">
        <v>135</v>
      </c>
      <c r="F1" s="15" t="s">
        <v>136</v>
      </c>
      <c r="G1" s="15" t="s">
        <v>137</v>
      </c>
      <c r="H1" s="15" t="s">
        <v>138</v>
      </c>
      <c r="I1" s="15" t="s">
        <v>139</v>
      </c>
      <c r="J1" s="15" t="s">
        <v>140</v>
      </c>
      <c r="K1" s="15" t="s">
        <v>141</v>
      </c>
      <c r="L1" s="15" t="s">
        <v>114</v>
      </c>
      <c r="M1" s="15" t="s">
        <v>58</v>
      </c>
      <c r="N1" s="15" t="s">
        <v>142</v>
      </c>
      <c r="O1" s="15" t="s">
        <v>67</v>
      </c>
      <c r="P1" s="15" t="s">
        <v>143</v>
      </c>
      <c r="Q1" s="15" t="s">
        <v>92</v>
      </c>
      <c r="R1" s="15" t="s">
        <v>144</v>
      </c>
      <c r="S1" s="15" t="s">
        <v>145</v>
      </c>
      <c r="T1" s="15" t="s">
        <v>146</v>
      </c>
      <c r="U1" s="15" t="s">
        <v>147</v>
      </c>
      <c r="V1" s="15" t="s">
        <v>148</v>
      </c>
      <c r="W1" s="15" t="s">
        <v>149</v>
      </c>
      <c r="X1" s="15" t="s">
        <v>150</v>
      </c>
      <c r="Y1" s="15" t="s">
        <v>112</v>
      </c>
      <c r="Z1" s="15" t="s">
        <v>151</v>
      </c>
      <c r="AA1" s="15" t="s">
        <v>152</v>
      </c>
      <c r="AB1" s="15" t="s">
        <v>153</v>
      </c>
      <c r="AC1" s="15" t="s">
        <v>154</v>
      </c>
      <c r="AD1" s="15" t="s">
        <v>155</v>
      </c>
      <c r="AE1" s="15" t="s">
        <v>156</v>
      </c>
      <c r="AF1" s="15" t="s">
        <v>157</v>
      </c>
      <c r="AG1" s="15" t="s">
        <v>115</v>
      </c>
      <c r="AH1" s="15" t="s">
        <v>158</v>
      </c>
      <c r="AI1" s="15" t="s">
        <v>159</v>
      </c>
      <c r="AJ1" s="15" t="s">
        <v>160</v>
      </c>
      <c r="AK1" s="15" t="s">
        <v>161</v>
      </c>
      <c r="AL1" s="15" t="s">
        <v>162</v>
      </c>
      <c r="AM1" s="15" t="s">
        <v>113</v>
      </c>
      <c r="AN1" s="15" t="s">
        <v>90</v>
      </c>
      <c r="AO1" s="15" t="s">
        <v>91</v>
      </c>
      <c r="AP1" s="15" t="s">
        <v>163</v>
      </c>
      <c r="AQ1" s="15" t="s">
        <v>164</v>
      </c>
      <c r="AR1" s="15" t="s">
        <v>73</v>
      </c>
      <c r="AS1" s="15" t="s">
        <v>165</v>
      </c>
      <c r="AT1" s="15" t="s">
        <v>116</v>
      </c>
      <c r="AU1" s="15" t="s">
        <v>72</v>
      </c>
    </row>
    <row r="2" spans="1:47">
      <c r="A2" t="s">
        <v>63</v>
      </c>
      <c r="B2" t="s">
        <v>63</v>
      </c>
      <c r="C2" t="s">
        <v>166</v>
      </c>
      <c r="D2" t="s">
        <v>166</v>
      </c>
      <c r="E2" t="s">
        <v>85</v>
      </c>
      <c r="F2" t="s">
        <v>167</v>
      </c>
      <c r="G2" t="s">
        <v>171</v>
      </c>
      <c r="H2" t="s">
        <v>88</v>
      </c>
      <c r="I2" t="s">
        <v>175</v>
      </c>
      <c r="J2" t="s">
        <v>179</v>
      </c>
      <c r="K2">
        <v>14</v>
      </c>
      <c r="M2" s="17">
        <v>16</v>
      </c>
      <c r="N2" s="18">
        <v>1.142857</v>
      </c>
      <c r="O2" s="17">
        <v>17</v>
      </c>
      <c r="P2" s="18">
        <v>1.214286</v>
      </c>
      <c r="Q2" s="17">
        <v>33</v>
      </c>
      <c r="R2" s="18">
        <v>2.357143</v>
      </c>
      <c r="S2" s="17">
        <v>11</v>
      </c>
      <c r="T2" s="18">
        <v>0.785714</v>
      </c>
      <c r="U2">
        <v>5</v>
      </c>
      <c r="V2" s="18">
        <v>0.357143</v>
      </c>
      <c r="W2">
        <v>3</v>
      </c>
      <c r="X2" s="18">
        <v>0.214286</v>
      </c>
      <c r="Y2" s="17">
        <v>4</v>
      </c>
      <c r="Z2" s="18">
        <v>0.285714</v>
      </c>
      <c r="AA2">
        <v>6</v>
      </c>
      <c r="AB2" s="18">
        <v>0.428571</v>
      </c>
      <c r="AC2">
        <v>1</v>
      </c>
      <c r="AD2" s="18">
        <v>0.07142900000000001</v>
      </c>
      <c r="AE2" s="19">
        <v>10</v>
      </c>
      <c r="AF2" s="19">
        <v>0.714286</v>
      </c>
      <c r="AG2" s="19">
        <v>0</v>
      </c>
      <c r="AH2" s="19">
        <v>0</v>
      </c>
      <c r="AI2" s="19">
        <v>4</v>
      </c>
      <c r="AJ2" s="19">
        <v>0.285714</v>
      </c>
      <c r="AK2" s="19">
        <v>16</v>
      </c>
      <c r="AL2" s="19">
        <v>1.142857</v>
      </c>
      <c r="AM2" s="16">
        <v>1</v>
      </c>
      <c r="AN2" s="16">
        <v>0.391026</v>
      </c>
      <c r="AO2" s="16">
        <v>0.484848</v>
      </c>
      <c r="AP2">
        <v>14</v>
      </c>
      <c r="AQ2">
        <v>117</v>
      </c>
      <c r="AR2">
        <v>117</v>
      </c>
      <c r="AS2" s="18">
        <v>8.357143000000001</v>
      </c>
      <c r="AT2" s="18">
        <v>8.357143000000001</v>
      </c>
      <c r="AU2">
        <v>45.36</v>
      </c>
    </row>
    <row r="3" spans="1:47">
      <c r="A3" t="s">
        <v>69</v>
      </c>
      <c r="B3" t="s">
        <v>69</v>
      </c>
      <c r="C3" t="s">
        <v>166</v>
      </c>
      <c r="D3" t="s">
        <v>166</v>
      </c>
      <c r="E3" t="s">
        <v>85</v>
      </c>
      <c r="F3" t="s">
        <v>168</v>
      </c>
      <c r="G3" t="s">
        <v>172</v>
      </c>
      <c r="H3" t="s">
        <v>89</v>
      </c>
      <c r="K3">
        <v>16</v>
      </c>
      <c r="M3" s="17">
        <v>3</v>
      </c>
      <c r="N3" s="18">
        <v>0.1875</v>
      </c>
      <c r="O3" s="17">
        <v>14</v>
      </c>
      <c r="P3" s="18">
        <v>0.875</v>
      </c>
      <c r="Q3" s="17">
        <v>20</v>
      </c>
      <c r="R3" s="18">
        <v>1.25</v>
      </c>
      <c r="S3" s="17">
        <v>7</v>
      </c>
      <c r="T3" s="18">
        <v>0.4375</v>
      </c>
      <c r="U3">
        <v>4</v>
      </c>
      <c r="V3" s="18">
        <v>0.25</v>
      </c>
      <c r="W3">
        <v>1</v>
      </c>
      <c r="X3" s="18">
        <v>0.0625</v>
      </c>
      <c r="Y3" s="17">
        <v>4</v>
      </c>
      <c r="Z3" s="18">
        <v>0.25</v>
      </c>
      <c r="AA3">
        <v>15</v>
      </c>
      <c r="AB3" s="18">
        <v>0.9375</v>
      </c>
      <c r="AC3">
        <v>3</v>
      </c>
      <c r="AD3" s="18">
        <v>0.1875</v>
      </c>
      <c r="AE3" s="19">
        <v>11</v>
      </c>
      <c r="AF3" s="19">
        <v>0.6875</v>
      </c>
      <c r="AG3" s="19">
        <v>0</v>
      </c>
      <c r="AH3" s="19">
        <v>0</v>
      </c>
      <c r="AI3" s="19">
        <v>5</v>
      </c>
      <c r="AJ3" s="19">
        <v>0.3125</v>
      </c>
      <c r="AK3" s="19">
        <v>7</v>
      </c>
      <c r="AL3" s="19">
        <v>0.4375</v>
      </c>
      <c r="AM3" s="16">
        <v>0</v>
      </c>
      <c r="AN3" s="16">
        <v>0.133333</v>
      </c>
      <c r="AO3" s="16">
        <v>0.15</v>
      </c>
      <c r="AP3">
        <v>16</v>
      </c>
      <c r="AQ3">
        <v>5.5</v>
      </c>
      <c r="AR3">
        <v>5.5</v>
      </c>
      <c r="AS3" s="18">
        <v>0.34375</v>
      </c>
      <c r="AT3" s="18">
        <v>0.34375</v>
      </c>
      <c r="AU3">
        <v>5.54</v>
      </c>
    </row>
    <row r="4" spans="1:47">
      <c r="A4" t="s">
        <v>60</v>
      </c>
      <c r="B4" t="s">
        <v>60</v>
      </c>
      <c r="C4" t="s">
        <v>166</v>
      </c>
      <c r="D4" t="s">
        <v>166</v>
      </c>
      <c r="E4" t="s">
        <v>85</v>
      </c>
      <c r="F4" t="s">
        <v>167</v>
      </c>
      <c r="G4" t="s">
        <v>171</v>
      </c>
      <c r="H4" t="s">
        <v>88</v>
      </c>
      <c r="I4" t="s">
        <v>176</v>
      </c>
      <c r="J4" t="s">
        <v>138</v>
      </c>
      <c r="K4">
        <v>16</v>
      </c>
      <c r="M4" s="17">
        <v>36</v>
      </c>
      <c r="N4" s="18">
        <v>2.25</v>
      </c>
      <c r="O4" s="17">
        <v>19</v>
      </c>
      <c r="P4" s="18">
        <v>1.1875</v>
      </c>
      <c r="Q4" s="17">
        <v>85</v>
      </c>
      <c r="R4" s="18">
        <v>5.3125</v>
      </c>
      <c r="S4" s="17">
        <v>18</v>
      </c>
      <c r="T4" s="18">
        <v>1.125</v>
      </c>
      <c r="U4">
        <v>16</v>
      </c>
      <c r="V4" s="18">
        <v>1</v>
      </c>
      <c r="W4">
        <v>3</v>
      </c>
      <c r="X4" s="18">
        <v>0.1875</v>
      </c>
      <c r="Y4" s="17">
        <v>9</v>
      </c>
      <c r="Z4" s="18">
        <v>0.5625</v>
      </c>
      <c r="AA4">
        <v>15</v>
      </c>
      <c r="AB4" s="18">
        <v>0.9375</v>
      </c>
      <c r="AC4">
        <v>0</v>
      </c>
      <c r="AD4" s="18">
        <v>0</v>
      </c>
      <c r="AE4" s="19">
        <v>10</v>
      </c>
      <c r="AF4" s="19">
        <v>0.625</v>
      </c>
      <c r="AG4" s="19">
        <v>0</v>
      </c>
      <c r="AH4" s="19">
        <v>0</v>
      </c>
      <c r="AI4" s="19">
        <v>11</v>
      </c>
      <c r="AJ4" s="19">
        <v>0.6875</v>
      </c>
      <c r="AK4" s="19">
        <v>12</v>
      </c>
      <c r="AL4" s="19">
        <v>0.75</v>
      </c>
      <c r="AM4" s="16">
        <v>0</v>
      </c>
      <c r="AN4" s="16">
        <v>0.401337</v>
      </c>
      <c r="AO4" s="16">
        <v>0.423529</v>
      </c>
      <c r="AP4">
        <v>16</v>
      </c>
      <c r="AQ4">
        <v>270</v>
      </c>
      <c r="AR4">
        <v>270</v>
      </c>
      <c r="AS4" s="18">
        <v>16.875</v>
      </c>
      <c r="AT4" s="18">
        <v>16.875</v>
      </c>
      <c r="AU4">
        <v>100</v>
      </c>
    </row>
    <row r="5" spans="1:47">
      <c r="A5" t="s">
        <v>127</v>
      </c>
      <c r="B5" t="s">
        <v>127</v>
      </c>
      <c r="C5" t="s">
        <v>166</v>
      </c>
      <c r="D5" t="s">
        <v>166</v>
      </c>
      <c r="E5" t="s">
        <v>85</v>
      </c>
      <c r="F5" t="s">
        <v>169</v>
      </c>
      <c r="G5" t="s">
        <v>173</v>
      </c>
      <c r="H5" t="s">
        <v>89</v>
      </c>
      <c r="K5">
        <v>1</v>
      </c>
      <c r="M5" s="17">
        <v>1</v>
      </c>
      <c r="N5" s="18">
        <v>1</v>
      </c>
      <c r="O5" s="17">
        <v>0</v>
      </c>
      <c r="P5" s="18">
        <v>0</v>
      </c>
      <c r="Q5" s="17">
        <v>3</v>
      </c>
      <c r="R5" s="18">
        <v>3</v>
      </c>
      <c r="S5" s="17">
        <v>0</v>
      </c>
      <c r="T5" s="18">
        <v>0</v>
      </c>
      <c r="U5">
        <v>0</v>
      </c>
      <c r="V5" s="18">
        <v>0</v>
      </c>
      <c r="W5">
        <v>1</v>
      </c>
      <c r="X5" s="18">
        <v>1</v>
      </c>
      <c r="Y5" s="17">
        <v>0</v>
      </c>
      <c r="Z5" s="18">
        <v>0</v>
      </c>
      <c r="AA5">
        <v>0</v>
      </c>
      <c r="AB5" s="18">
        <v>0</v>
      </c>
      <c r="AC5">
        <v>0</v>
      </c>
      <c r="AD5" s="18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N5" s="16">
        <v>0.333333</v>
      </c>
      <c r="AO5" s="16">
        <v>0.333333</v>
      </c>
      <c r="AP5">
        <v>1</v>
      </c>
      <c r="AQ5">
        <v>9.5</v>
      </c>
      <c r="AR5">
        <v>9.5</v>
      </c>
      <c r="AS5" s="18">
        <v>9.5</v>
      </c>
      <c r="AT5" s="18">
        <v>9.5</v>
      </c>
      <c r="AU5">
        <v>6.96</v>
      </c>
    </row>
    <row r="6" spans="1:47">
      <c r="A6" t="s">
        <v>61</v>
      </c>
      <c r="B6" t="s">
        <v>61</v>
      </c>
      <c r="C6" t="s">
        <v>166</v>
      </c>
      <c r="D6" t="s">
        <v>166</v>
      </c>
      <c r="E6" t="s">
        <v>85</v>
      </c>
      <c r="F6" t="s">
        <v>169</v>
      </c>
      <c r="G6" t="s">
        <v>173</v>
      </c>
      <c r="H6" t="s">
        <v>88</v>
      </c>
      <c r="I6" t="s">
        <v>177</v>
      </c>
      <c r="J6" t="s">
        <v>138</v>
      </c>
      <c r="K6">
        <v>15</v>
      </c>
      <c r="M6" s="17">
        <v>22</v>
      </c>
      <c r="N6" s="18">
        <v>1.466667</v>
      </c>
      <c r="O6" s="17">
        <v>11</v>
      </c>
      <c r="P6" s="18">
        <v>0.733333</v>
      </c>
      <c r="Q6" s="17">
        <v>51</v>
      </c>
      <c r="R6" s="18">
        <v>3.4</v>
      </c>
      <c r="S6" s="17">
        <v>9</v>
      </c>
      <c r="T6" s="18">
        <v>0.6</v>
      </c>
      <c r="U6">
        <v>33</v>
      </c>
      <c r="V6" s="18">
        <v>2.2</v>
      </c>
      <c r="W6">
        <v>8</v>
      </c>
      <c r="X6" s="18">
        <v>0.5333329999999999</v>
      </c>
      <c r="Y6" s="17">
        <v>2</v>
      </c>
      <c r="Z6" s="18">
        <v>0.133333</v>
      </c>
      <c r="AA6">
        <v>12</v>
      </c>
      <c r="AB6" s="18">
        <v>0.8</v>
      </c>
      <c r="AC6">
        <v>0</v>
      </c>
      <c r="AD6" s="18">
        <v>0</v>
      </c>
      <c r="AE6" s="19">
        <v>5</v>
      </c>
      <c r="AF6" s="19">
        <v>0.333333</v>
      </c>
      <c r="AG6" s="19">
        <v>0</v>
      </c>
      <c r="AH6" s="19">
        <v>0</v>
      </c>
      <c r="AI6" s="19">
        <v>15</v>
      </c>
      <c r="AJ6" s="19">
        <v>1</v>
      </c>
      <c r="AK6" s="19">
        <v>15</v>
      </c>
      <c r="AL6" s="19">
        <v>1</v>
      </c>
      <c r="AM6" s="16">
        <v>0.666667</v>
      </c>
      <c r="AN6" s="16">
        <v>0.382143</v>
      </c>
      <c r="AO6" s="16">
        <v>0.431373</v>
      </c>
      <c r="AP6">
        <v>15</v>
      </c>
      <c r="AQ6">
        <v>195</v>
      </c>
      <c r="AR6">
        <v>195</v>
      </c>
      <c r="AS6" s="18">
        <v>13</v>
      </c>
      <c r="AT6" s="18">
        <v>13</v>
      </c>
      <c r="AU6">
        <v>73.20999999999999</v>
      </c>
    </row>
    <row r="7" spans="1:47">
      <c r="A7" t="s">
        <v>68</v>
      </c>
      <c r="B7" t="s">
        <v>68</v>
      </c>
      <c r="C7" t="s">
        <v>166</v>
      </c>
      <c r="D7" t="s">
        <v>166</v>
      </c>
      <c r="E7" t="s">
        <v>85</v>
      </c>
      <c r="F7" t="s">
        <v>170</v>
      </c>
      <c r="G7" t="s">
        <v>174</v>
      </c>
      <c r="H7" t="s">
        <v>89</v>
      </c>
      <c r="K7">
        <v>16</v>
      </c>
      <c r="M7" s="17">
        <v>4</v>
      </c>
      <c r="N7" s="18">
        <v>0.25</v>
      </c>
      <c r="O7" s="17">
        <v>20</v>
      </c>
      <c r="P7" s="18">
        <v>1.25</v>
      </c>
      <c r="Q7" s="17">
        <v>20</v>
      </c>
      <c r="R7" s="18">
        <v>1.25</v>
      </c>
      <c r="S7" s="17">
        <v>8</v>
      </c>
      <c r="T7" s="18">
        <v>0.5</v>
      </c>
      <c r="U7">
        <v>7</v>
      </c>
      <c r="V7" s="18">
        <v>0.4375</v>
      </c>
      <c r="W7">
        <v>4</v>
      </c>
      <c r="X7" s="18">
        <v>0.25</v>
      </c>
      <c r="Y7" s="17">
        <v>1</v>
      </c>
      <c r="Z7" s="18">
        <v>0.0625</v>
      </c>
      <c r="AA7">
        <v>11</v>
      </c>
      <c r="AB7" s="18">
        <v>0.6875</v>
      </c>
      <c r="AC7">
        <v>3</v>
      </c>
      <c r="AD7" s="18">
        <v>0.1875</v>
      </c>
      <c r="AE7" s="19">
        <v>11</v>
      </c>
      <c r="AF7" s="19">
        <v>0.6875</v>
      </c>
      <c r="AG7" s="19">
        <v>0</v>
      </c>
      <c r="AH7" s="19">
        <v>0</v>
      </c>
      <c r="AI7" s="19">
        <v>4</v>
      </c>
      <c r="AJ7" s="19">
        <v>0.25</v>
      </c>
      <c r="AK7" s="19">
        <v>7</v>
      </c>
      <c r="AL7" s="19">
        <v>0.4375</v>
      </c>
      <c r="AM7" s="16">
        <v>0</v>
      </c>
      <c r="AN7" s="16">
        <v>0.094444</v>
      </c>
      <c r="AO7" s="16">
        <v>0.2</v>
      </c>
      <c r="AP7">
        <v>16</v>
      </c>
      <c r="AQ7">
        <v>56</v>
      </c>
      <c r="AR7">
        <v>56</v>
      </c>
      <c r="AS7" s="18">
        <v>3.5</v>
      </c>
      <c r="AT7" s="18">
        <v>3.5</v>
      </c>
      <c r="AU7">
        <v>23.57</v>
      </c>
    </row>
    <row r="8" spans="1:47">
      <c r="A8" t="s">
        <v>65</v>
      </c>
      <c r="B8" t="s">
        <v>65</v>
      </c>
      <c r="C8" t="s">
        <v>166</v>
      </c>
      <c r="D8" t="s">
        <v>166</v>
      </c>
      <c r="E8" t="s">
        <v>86</v>
      </c>
      <c r="F8" t="s">
        <v>170</v>
      </c>
      <c r="G8" t="s">
        <v>174</v>
      </c>
      <c r="H8" t="s">
        <v>89</v>
      </c>
      <c r="K8">
        <v>15</v>
      </c>
      <c r="M8" s="17">
        <v>15</v>
      </c>
      <c r="N8" s="18">
        <v>1</v>
      </c>
      <c r="O8" s="17">
        <v>7</v>
      </c>
      <c r="P8" s="18">
        <v>0.466667</v>
      </c>
      <c r="Q8" s="17">
        <v>40</v>
      </c>
      <c r="R8" s="18">
        <v>2.666667</v>
      </c>
      <c r="S8" s="17">
        <v>17</v>
      </c>
      <c r="T8" s="18">
        <v>1.133333</v>
      </c>
      <c r="U8">
        <v>8</v>
      </c>
      <c r="V8" s="18">
        <v>0.5333329999999999</v>
      </c>
      <c r="W8">
        <v>4</v>
      </c>
      <c r="X8" s="18">
        <v>0.266667</v>
      </c>
      <c r="Y8" s="17">
        <v>3</v>
      </c>
      <c r="Z8" s="18">
        <v>0.2</v>
      </c>
      <c r="AA8">
        <v>9</v>
      </c>
      <c r="AB8" s="18">
        <v>0.6</v>
      </c>
      <c r="AC8">
        <v>0</v>
      </c>
      <c r="AD8" s="18">
        <v>0</v>
      </c>
      <c r="AE8" s="19">
        <v>13</v>
      </c>
      <c r="AF8" s="19">
        <v>0.866667</v>
      </c>
      <c r="AG8" s="19">
        <v>0</v>
      </c>
      <c r="AH8" s="19">
        <v>0</v>
      </c>
      <c r="AI8" s="19">
        <v>7</v>
      </c>
      <c r="AJ8" s="19">
        <v>0.466667</v>
      </c>
      <c r="AK8" s="19">
        <v>3</v>
      </c>
      <c r="AL8" s="19">
        <v>0.2</v>
      </c>
      <c r="AM8" s="16">
        <v>1</v>
      </c>
      <c r="AN8" s="16">
        <v>0.373299</v>
      </c>
      <c r="AO8" s="16">
        <v>0.375</v>
      </c>
      <c r="AP8">
        <v>15</v>
      </c>
      <c r="AQ8">
        <v>116.5</v>
      </c>
      <c r="AR8">
        <v>116.5</v>
      </c>
      <c r="AS8" s="18">
        <v>7.766667</v>
      </c>
      <c r="AT8" s="18">
        <v>7.766667</v>
      </c>
      <c r="AU8">
        <v>45.18</v>
      </c>
    </row>
    <row r="9" spans="1:47">
      <c r="A9" t="s">
        <v>64</v>
      </c>
      <c r="B9" t="s">
        <v>64</v>
      </c>
      <c r="C9" t="s">
        <v>166</v>
      </c>
      <c r="D9" t="s">
        <v>166</v>
      </c>
      <c r="E9" t="s">
        <v>85</v>
      </c>
      <c r="F9" t="s">
        <v>168</v>
      </c>
      <c r="G9" t="s">
        <v>172</v>
      </c>
      <c r="H9" t="s">
        <v>88</v>
      </c>
      <c r="I9" t="s">
        <v>178</v>
      </c>
      <c r="J9" t="s">
        <v>138</v>
      </c>
      <c r="K9">
        <v>15</v>
      </c>
      <c r="M9" s="17">
        <v>16</v>
      </c>
      <c r="N9" s="18">
        <v>1.066667</v>
      </c>
      <c r="O9" s="17">
        <v>7</v>
      </c>
      <c r="P9" s="18">
        <v>0.466667</v>
      </c>
      <c r="Q9" s="17">
        <v>46</v>
      </c>
      <c r="R9" s="18">
        <v>3.066667</v>
      </c>
      <c r="S9" s="17">
        <v>14</v>
      </c>
      <c r="T9" s="18">
        <v>0.933333</v>
      </c>
      <c r="U9">
        <v>22</v>
      </c>
      <c r="V9" s="18">
        <v>1.466667</v>
      </c>
      <c r="W9">
        <v>7</v>
      </c>
      <c r="X9" s="18">
        <v>0.466667</v>
      </c>
      <c r="Y9" s="17">
        <v>6</v>
      </c>
      <c r="Z9" s="18">
        <v>0.4</v>
      </c>
      <c r="AA9">
        <v>25</v>
      </c>
      <c r="AB9" s="18">
        <v>1.666667</v>
      </c>
      <c r="AC9">
        <v>0</v>
      </c>
      <c r="AD9" s="18">
        <v>0</v>
      </c>
      <c r="AE9" s="19">
        <v>13</v>
      </c>
      <c r="AF9" s="19">
        <v>0.866667</v>
      </c>
      <c r="AG9" s="19">
        <v>0</v>
      </c>
      <c r="AH9" s="19">
        <v>0</v>
      </c>
      <c r="AI9" s="19">
        <v>8</v>
      </c>
      <c r="AJ9" s="19">
        <v>0.5333329999999999</v>
      </c>
      <c r="AK9" s="19">
        <v>9</v>
      </c>
      <c r="AL9" s="19">
        <v>0.6</v>
      </c>
      <c r="AM9" s="16">
        <v>0.25</v>
      </c>
      <c r="AN9" s="16">
        <v>0.351361</v>
      </c>
      <c r="AO9" s="16">
        <v>0.347826</v>
      </c>
      <c r="AP9">
        <v>15</v>
      </c>
      <c r="AQ9">
        <v>111.5</v>
      </c>
      <c r="AR9">
        <v>111.5</v>
      </c>
      <c r="AS9" s="18">
        <v>7.433333</v>
      </c>
      <c r="AT9" s="18">
        <v>7.433333</v>
      </c>
      <c r="AU9">
        <v>43.39</v>
      </c>
    </row>
    <row r="10" spans="1:47">
      <c r="A10" t="s">
        <v>128</v>
      </c>
      <c r="B10" t="s">
        <v>128</v>
      </c>
      <c r="C10" t="s">
        <v>166</v>
      </c>
      <c r="D10" t="s">
        <v>166</v>
      </c>
      <c r="E10" t="s">
        <v>85</v>
      </c>
      <c r="F10" t="s">
        <v>167</v>
      </c>
      <c r="G10" t="s">
        <v>171</v>
      </c>
      <c r="H10" t="s">
        <v>89</v>
      </c>
      <c r="K10">
        <v>1</v>
      </c>
      <c r="M10" s="17">
        <v>0</v>
      </c>
      <c r="N10" s="18">
        <v>0</v>
      </c>
      <c r="O10" s="17">
        <v>0</v>
      </c>
      <c r="P10" s="18">
        <v>0</v>
      </c>
      <c r="Q10" s="17">
        <v>0</v>
      </c>
      <c r="R10" s="18">
        <v>0</v>
      </c>
      <c r="S10" s="17">
        <v>0</v>
      </c>
      <c r="T10" s="18">
        <v>0</v>
      </c>
      <c r="U10">
        <v>0</v>
      </c>
      <c r="V10" s="18">
        <v>0</v>
      </c>
      <c r="W10">
        <v>0</v>
      </c>
      <c r="X10" s="18">
        <v>0</v>
      </c>
      <c r="Y10" s="17">
        <v>0</v>
      </c>
      <c r="Z10" s="18">
        <v>0</v>
      </c>
      <c r="AA10">
        <v>0</v>
      </c>
      <c r="AB10" s="18">
        <v>0</v>
      </c>
      <c r="AC10">
        <v>0</v>
      </c>
      <c r="AD10" s="18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N10" s="16">
        <v>0</v>
      </c>
      <c r="AP10">
        <v>1</v>
      </c>
      <c r="AQ10">
        <v>0</v>
      </c>
      <c r="AR10">
        <v>0</v>
      </c>
      <c r="AS10" s="18">
        <v>0</v>
      </c>
      <c r="AT10" s="18">
        <v>0</v>
      </c>
      <c r="AU10">
        <v>3.57</v>
      </c>
    </row>
    <row r="11" spans="1:47">
      <c r="A11" t="s">
        <v>71</v>
      </c>
      <c r="B11" t="s">
        <v>71</v>
      </c>
      <c r="C11" t="s">
        <v>166</v>
      </c>
      <c r="D11" t="s">
        <v>166</v>
      </c>
      <c r="E11" t="s">
        <v>85</v>
      </c>
      <c r="F11" t="s">
        <v>170</v>
      </c>
      <c r="G11" t="s">
        <v>174</v>
      </c>
      <c r="H11" t="s">
        <v>89</v>
      </c>
      <c r="K11">
        <v>13</v>
      </c>
      <c r="M11" s="17">
        <v>10</v>
      </c>
      <c r="N11" s="18">
        <v>0.769231</v>
      </c>
      <c r="O11" s="17">
        <v>12</v>
      </c>
      <c r="P11" s="18">
        <v>0.923077</v>
      </c>
      <c r="Q11" s="17">
        <v>26</v>
      </c>
      <c r="R11" s="18">
        <v>2</v>
      </c>
      <c r="S11" s="17">
        <v>9</v>
      </c>
      <c r="T11" s="18">
        <v>0.692308</v>
      </c>
      <c r="U11">
        <v>4</v>
      </c>
      <c r="V11" s="18">
        <v>0.307692</v>
      </c>
      <c r="W11">
        <v>1</v>
      </c>
      <c r="X11" s="18">
        <v>0.07692300000000001</v>
      </c>
      <c r="Y11" s="17">
        <v>1</v>
      </c>
      <c r="Z11" s="18">
        <v>0.07692300000000001</v>
      </c>
      <c r="AA11">
        <v>5</v>
      </c>
      <c r="AB11" s="18">
        <v>0.384615</v>
      </c>
      <c r="AC11">
        <v>1</v>
      </c>
      <c r="AD11" s="18">
        <v>0.07692300000000001</v>
      </c>
      <c r="AE11" s="19">
        <v>7</v>
      </c>
      <c r="AF11" s="19">
        <v>0.538462</v>
      </c>
      <c r="AG11" s="19">
        <v>0</v>
      </c>
      <c r="AH11" s="19">
        <v>0</v>
      </c>
      <c r="AI11" s="19">
        <v>4</v>
      </c>
      <c r="AJ11" s="19">
        <v>0.307692</v>
      </c>
      <c r="AK11" s="19">
        <v>5</v>
      </c>
      <c r="AL11" s="19">
        <v>0.384615</v>
      </c>
      <c r="AM11" s="16">
        <v>0</v>
      </c>
      <c r="AN11" s="16">
        <v>0.333333</v>
      </c>
      <c r="AO11" s="16">
        <v>0.384615</v>
      </c>
      <c r="AP11">
        <v>13</v>
      </c>
      <c r="AQ11">
        <v>83.5</v>
      </c>
      <c r="AR11">
        <v>83.5</v>
      </c>
      <c r="AS11" s="18">
        <v>6.423077</v>
      </c>
      <c r="AT11" s="18">
        <v>6.423077</v>
      </c>
      <c r="AU11">
        <v>33.39</v>
      </c>
    </row>
    <row r="12" spans="1:47">
      <c r="A12" t="s">
        <v>129</v>
      </c>
      <c r="B12" t="s">
        <v>129</v>
      </c>
      <c r="C12" t="s">
        <v>166</v>
      </c>
      <c r="D12" t="s">
        <v>166</v>
      </c>
      <c r="E12" t="s">
        <v>85</v>
      </c>
      <c r="F12" t="s">
        <v>170</v>
      </c>
      <c r="G12" t="s">
        <v>174</v>
      </c>
      <c r="H12" t="s">
        <v>89</v>
      </c>
      <c r="K12">
        <v>10</v>
      </c>
      <c r="M12" s="17">
        <v>0</v>
      </c>
      <c r="N12" s="18">
        <v>0</v>
      </c>
      <c r="O12" s="17">
        <v>1</v>
      </c>
      <c r="P12" s="18">
        <v>0.1</v>
      </c>
      <c r="Q12" s="17">
        <v>3</v>
      </c>
      <c r="R12" s="18">
        <v>0.3</v>
      </c>
      <c r="S12" s="17">
        <v>2</v>
      </c>
      <c r="T12" s="18">
        <v>0.2</v>
      </c>
      <c r="U12">
        <v>1</v>
      </c>
      <c r="V12" s="18">
        <v>0.1</v>
      </c>
      <c r="W12">
        <v>0</v>
      </c>
      <c r="X12" s="18">
        <v>0</v>
      </c>
      <c r="Y12" s="17">
        <v>2</v>
      </c>
      <c r="Z12" s="18">
        <v>0.2</v>
      </c>
      <c r="AA12">
        <v>4</v>
      </c>
      <c r="AB12" s="18">
        <v>0.4</v>
      </c>
      <c r="AC12">
        <v>1</v>
      </c>
      <c r="AD12" s="18">
        <v>0.1</v>
      </c>
      <c r="AE12" s="19">
        <v>1</v>
      </c>
      <c r="AF12" s="19">
        <v>0.1</v>
      </c>
      <c r="AG12" s="19">
        <v>0</v>
      </c>
      <c r="AH12" s="19">
        <v>0</v>
      </c>
      <c r="AI12" s="19">
        <v>2</v>
      </c>
      <c r="AJ12" s="19">
        <v>0.2</v>
      </c>
      <c r="AK12" s="19">
        <v>2</v>
      </c>
      <c r="AL12" s="19">
        <v>0.2</v>
      </c>
      <c r="AM12" s="16">
        <v>0</v>
      </c>
      <c r="AN12" s="16">
        <v>0</v>
      </c>
      <c r="AO12" s="16">
        <v>0</v>
      </c>
      <c r="AP12">
        <v>10</v>
      </c>
      <c r="AQ12">
        <v>-10</v>
      </c>
      <c r="AR12">
        <v>-10</v>
      </c>
      <c r="AS12" s="18">
        <v>-1</v>
      </c>
      <c r="AT12" s="18">
        <v>-1</v>
      </c>
      <c r="AU12">
        <v>0</v>
      </c>
    </row>
    <row r="13" spans="1:47">
      <c r="A13" t="s">
        <v>66</v>
      </c>
      <c r="B13" t="s">
        <v>66</v>
      </c>
      <c r="C13" t="s">
        <v>166</v>
      </c>
      <c r="D13" t="s">
        <v>166</v>
      </c>
      <c r="E13" t="s">
        <v>85</v>
      </c>
      <c r="F13" t="s">
        <v>167</v>
      </c>
      <c r="G13" t="s">
        <v>171</v>
      </c>
      <c r="H13" t="s">
        <v>89</v>
      </c>
      <c r="K13">
        <v>14</v>
      </c>
      <c r="M13" s="17">
        <v>11</v>
      </c>
      <c r="N13" s="18">
        <v>0.785714</v>
      </c>
      <c r="O13" s="17">
        <v>4</v>
      </c>
      <c r="P13" s="18">
        <v>0.285714</v>
      </c>
      <c r="Q13" s="17">
        <v>27</v>
      </c>
      <c r="R13" s="18">
        <v>1.928571</v>
      </c>
      <c r="S13" s="17">
        <v>4</v>
      </c>
      <c r="T13" s="18">
        <v>0.285714</v>
      </c>
      <c r="U13">
        <v>2</v>
      </c>
      <c r="V13" s="18">
        <v>0.142857</v>
      </c>
      <c r="W13">
        <v>2</v>
      </c>
      <c r="X13" s="18">
        <v>0.142857</v>
      </c>
      <c r="Y13" s="17">
        <v>2</v>
      </c>
      <c r="Z13" s="18">
        <v>0.142857</v>
      </c>
      <c r="AA13">
        <v>11</v>
      </c>
      <c r="AB13" s="18">
        <v>0.785714</v>
      </c>
      <c r="AC13">
        <v>1</v>
      </c>
      <c r="AD13" s="18">
        <v>0.07142900000000001</v>
      </c>
      <c r="AE13" s="19">
        <v>4</v>
      </c>
      <c r="AF13" s="19">
        <v>0.285714</v>
      </c>
      <c r="AG13" s="19">
        <v>0</v>
      </c>
      <c r="AH13" s="19">
        <v>0</v>
      </c>
      <c r="AI13" s="19">
        <v>0</v>
      </c>
      <c r="AJ13" s="19">
        <v>0</v>
      </c>
      <c r="AK13" s="19">
        <v>8</v>
      </c>
      <c r="AL13" s="19">
        <v>0.571429</v>
      </c>
      <c r="AM13" s="16">
        <v>0</v>
      </c>
      <c r="AN13" s="16">
        <v>0.358974</v>
      </c>
      <c r="AO13" s="16">
        <v>0.407407</v>
      </c>
      <c r="AP13">
        <v>14</v>
      </c>
      <c r="AQ13">
        <v>47</v>
      </c>
      <c r="AR13">
        <v>47</v>
      </c>
      <c r="AS13" s="18">
        <v>3.357143</v>
      </c>
      <c r="AT13" s="18">
        <v>3.357143</v>
      </c>
      <c r="AU13">
        <v>20.36</v>
      </c>
    </row>
    <row r="14" spans="1:47">
      <c r="A14" t="s">
        <v>130</v>
      </c>
      <c r="B14" t="s">
        <v>130</v>
      </c>
      <c r="C14" t="s">
        <v>166</v>
      </c>
      <c r="D14" t="s">
        <v>166</v>
      </c>
      <c r="E14" t="s">
        <v>85</v>
      </c>
      <c r="F14" t="s">
        <v>168</v>
      </c>
      <c r="G14" t="s">
        <v>172</v>
      </c>
      <c r="H14" t="s">
        <v>89</v>
      </c>
      <c r="K14">
        <v>1</v>
      </c>
      <c r="M14" s="17">
        <v>0</v>
      </c>
      <c r="N14" s="18">
        <v>0</v>
      </c>
      <c r="O14" s="17">
        <v>1</v>
      </c>
      <c r="P14" s="18">
        <v>1</v>
      </c>
      <c r="Q14" s="17">
        <v>0</v>
      </c>
      <c r="R14" s="18">
        <v>0</v>
      </c>
      <c r="S14" s="17">
        <v>0</v>
      </c>
      <c r="T14" s="18">
        <v>0</v>
      </c>
      <c r="U14">
        <v>0</v>
      </c>
      <c r="V14" s="18">
        <v>0</v>
      </c>
      <c r="W14">
        <v>0</v>
      </c>
      <c r="X14" s="18">
        <v>0</v>
      </c>
      <c r="Y14" s="17">
        <v>0</v>
      </c>
      <c r="Z14" s="18">
        <v>0</v>
      </c>
      <c r="AA14">
        <v>0</v>
      </c>
      <c r="AB14" s="18">
        <v>0</v>
      </c>
      <c r="AC14">
        <v>0</v>
      </c>
      <c r="AD14" s="18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1</v>
      </c>
      <c r="AJ14" s="19">
        <v>1</v>
      </c>
      <c r="AK14" s="19">
        <v>1</v>
      </c>
      <c r="AL14" s="19">
        <v>1</v>
      </c>
      <c r="AN14" s="16">
        <v>0</v>
      </c>
      <c r="AP14">
        <v>1</v>
      </c>
      <c r="AQ14">
        <v>-1</v>
      </c>
      <c r="AR14">
        <v>-1</v>
      </c>
      <c r="AS14" s="18">
        <v>-1</v>
      </c>
      <c r="AT14" s="18">
        <v>-1</v>
      </c>
      <c r="AU14">
        <v>3.21</v>
      </c>
    </row>
    <row r="15" spans="1:47">
      <c r="A15" t="s">
        <v>70</v>
      </c>
      <c r="B15" t="s">
        <v>70</v>
      </c>
      <c r="C15" t="s">
        <v>166</v>
      </c>
      <c r="D15" t="s">
        <v>166</v>
      </c>
      <c r="E15" t="s">
        <v>85</v>
      </c>
      <c r="F15" t="s">
        <v>170</v>
      </c>
      <c r="G15" t="s">
        <v>174</v>
      </c>
      <c r="H15" t="s">
        <v>89</v>
      </c>
      <c r="K15">
        <v>16</v>
      </c>
      <c r="M15" s="17">
        <v>1</v>
      </c>
      <c r="N15" s="18">
        <v>0.0625</v>
      </c>
      <c r="O15" s="17">
        <v>14</v>
      </c>
      <c r="P15" s="18">
        <v>0.875</v>
      </c>
      <c r="Q15" s="17">
        <v>14</v>
      </c>
      <c r="R15" s="18">
        <v>0.875</v>
      </c>
      <c r="S15" s="17">
        <v>4</v>
      </c>
      <c r="T15" s="18">
        <v>0.25</v>
      </c>
      <c r="U15">
        <v>3</v>
      </c>
      <c r="V15" s="18">
        <v>0.1875</v>
      </c>
      <c r="W15">
        <v>5</v>
      </c>
      <c r="X15" s="18">
        <v>0.3125</v>
      </c>
      <c r="Y15" s="17">
        <v>2</v>
      </c>
      <c r="Z15" s="18">
        <v>0.125</v>
      </c>
      <c r="AA15">
        <v>6</v>
      </c>
      <c r="AB15" s="18">
        <v>0.375</v>
      </c>
      <c r="AC15">
        <v>0</v>
      </c>
      <c r="AD15" s="18">
        <v>0</v>
      </c>
      <c r="AE15" s="19">
        <v>2</v>
      </c>
      <c r="AF15" s="19">
        <v>0.125</v>
      </c>
      <c r="AG15" s="19">
        <v>0</v>
      </c>
      <c r="AH15" s="19">
        <v>0</v>
      </c>
      <c r="AI15" s="19">
        <v>2</v>
      </c>
      <c r="AJ15" s="19">
        <v>0.125</v>
      </c>
      <c r="AK15" s="19">
        <v>6</v>
      </c>
      <c r="AL15" s="19">
        <v>0.375</v>
      </c>
      <c r="AM15" s="16">
        <v>0</v>
      </c>
      <c r="AN15" s="16">
        <v>0.033333</v>
      </c>
      <c r="AO15" s="16">
        <v>0.07142900000000001</v>
      </c>
      <c r="AP15">
        <v>16</v>
      </c>
      <c r="AQ15">
        <v>51.5</v>
      </c>
      <c r="AR15">
        <v>51.5</v>
      </c>
      <c r="AS15" s="18">
        <v>3.21875</v>
      </c>
      <c r="AT15" s="18">
        <v>3.21875</v>
      </c>
      <c r="AU15">
        <v>21.96</v>
      </c>
    </row>
    <row r="16" spans="1:47">
      <c r="A16" t="s">
        <v>62</v>
      </c>
      <c r="B16" t="s">
        <v>62</v>
      </c>
      <c r="C16" t="s">
        <v>166</v>
      </c>
      <c r="D16" t="s">
        <v>166</v>
      </c>
      <c r="E16" t="s">
        <v>85</v>
      </c>
      <c r="F16" t="s">
        <v>169</v>
      </c>
      <c r="G16" t="s">
        <v>173</v>
      </c>
      <c r="H16" t="s">
        <v>89</v>
      </c>
      <c r="K16">
        <v>15</v>
      </c>
      <c r="M16" s="17">
        <v>19</v>
      </c>
      <c r="N16" s="18">
        <v>1.266667</v>
      </c>
      <c r="O16" s="17">
        <v>4</v>
      </c>
      <c r="P16" s="18">
        <v>0.266667</v>
      </c>
      <c r="Q16" s="17">
        <v>33</v>
      </c>
      <c r="R16" s="18">
        <v>2.2</v>
      </c>
      <c r="S16" s="17">
        <v>5</v>
      </c>
      <c r="T16" s="18">
        <v>0.333333</v>
      </c>
      <c r="U16">
        <v>32</v>
      </c>
      <c r="V16" s="18">
        <v>2.133333</v>
      </c>
      <c r="W16">
        <v>7</v>
      </c>
      <c r="X16" s="18">
        <v>0.466667</v>
      </c>
      <c r="Y16" s="17">
        <v>6</v>
      </c>
      <c r="Z16" s="18">
        <v>0.4</v>
      </c>
      <c r="AA16">
        <v>8</v>
      </c>
      <c r="AB16" s="18">
        <v>0.5333329999999999</v>
      </c>
      <c r="AC16">
        <v>0</v>
      </c>
      <c r="AD16" s="18">
        <v>0</v>
      </c>
      <c r="AE16" s="19">
        <v>9</v>
      </c>
      <c r="AF16" s="19">
        <v>0.6</v>
      </c>
      <c r="AG16" s="19">
        <v>0</v>
      </c>
      <c r="AH16" s="19">
        <v>0</v>
      </c>
      <c r="AI16" s="19">
        <v>14</v>
      </c>
      <c r="AJ16" s="19">
        <v>0.933333</v>
      </c>
      <c r="AK16" s="19">
        <v>5</v>
      </c>
      <c r="AL16" s="19">
        <v>0.333333</v>
      </c>
      <c r="AM16" s="16">
        <v>0.666667</v>
      </c>
      <c r="AN16" s="16">
        <v>0.458333</v>
      </c>
      <c r="AO16" s="16">
        <v>0.575758</v>
      </c>
      <c r="AP16">
        <v>15</v>
      </c>
      <c r="AQ16">
        <v>164.5</v>
      </c>
      <c r="AR16">
        <v>164.5</v>
      </c>
      <c r="AS16" s="18">
        <v>10.966667</v>
      </c>
      <c r="AT16" s="18">
        <v>10.966667</v>
      </c>
      <c r="AU16">
        <v>62.32</v>
      </c>
    </row>
    <row r="17" spans="1:47">
      <c r="A17" t="s">
        <v>59</v>
      </c>
      <c r="B17" t="s">
        <v>59</v>
      </c>
      <c r="C17" t="s">
        <v>166</v>
      </c>
      <c r="D17" t="s">
        <v>166</v>
      </c>
      <c r="E17" t="s">
        <v>85</v>
      </c>
      <c r="F17" t="s">
        <v>167</v>
      </c>
      <c r="G17" t="s">
        <v>171</v>
      </c>
      <c r="H17" t="s">
        <v>89</v>
      </c>
      <c r="K17">
        <v>16</v>
      </c>
      <c r="M17" s="17">
        <v>57</v>
      </c>
      <c r="N17" s="18">
        <v>3.5625</v>
      </c>
      <c r="O17" s="17">
        <v>6</v>
      </c>
      <c r="P17" s="18">
        <v>0.375</v>
      </c>
      <c r="Q17" s="17">
        <v>118</v>
      </c>
      <c r="R17" s="18">
        <v>7.375</v>
      </c>
      <c r="S17" s="17">
        <v>12</v>
      </c>
      <c r="T17" s="18">
        <v>0.75</v>
      </c>
      <c r="U17">
        <v>6</v>
      </c>
      <c r="V17" s="18">
        <v>0.375</v>
      </c>
      <c r="W17">
        <v>3</v>
      </c>
      <c r="X17" s="18">
        <v>0.1875</v>
      </c>
      <c r="Y17" s="17">
        <v>4</v>
      </c>
      <c r="Z17" s="18">
        <v>0.25</v>
      </c>
      <c r="AA17">
        <v>17</v>
      </c>
      <c r="AB17" s="18">
        <v>1.0625</v>
      </c>
      <c r="AC17">
        <v>2</v>
      </c>
      <c r="AD17" s="18">
        <v>0.125</v>
      </c>
      <c r="AE17" s="19">
        <v>21</v>
      </c>
      <c r="AF17" s="19">
        <v>1.3125</v>
      </c>
      <c r="AG17" s="19">
        <v>0</v>
      </c>
      <c r="AH17" s="19">
        <v>0</v>
      </c>
      <c r="AI17" s="19">
        <v>8</v>
      </c>
      <c r="AJ17" s="19">
        <v>0.5</v>
      </c>
      <c r="AK17" s="19">
        <v>21</v>
      </c>
      <c r="AL17" s="19">
        <v>1.3125</v>
      </c>
      <c r="AM17" s="16">
        <v>0.444444</v>
      </c>
      <c r="AN17" s="16">
        <v>0.500387</v>
      </c>
      <c r="AO17" s="16">
        <v>0.483051</v>
      </c>
      <c r="AP17">
        <v>16</v>
      </c>
      <c r="AQ17">
        <v>265.5</v>
      </c>
      <c r="AR17">
        <v>265.5</v>
      </c>
      <c r="AS17" s="18">
        <v>16.59375</v>
      </c>
      <c r="AT17" s="18">
        <v>16.59375</v>
      </c>
      <c r="AU17">
        <v>98.39</v>
      </c>
    </row>
    <row r="18" spans="1:47">
      <c r="A18" t="s">
        <v>109</v>
      </c>
      <c r="B18" t="s">
        <v>109</v>
      </c>
      <c r="C18" t="s">
        <v>180</v>
      </c>
      <c r="D18" t="s">
        <v>180</v>
      </c>
      <c r="E18" t="s">
        <v>85</v>
      </c>
      <c r="F18" t="s">
        <v>181</v>
      </c>
      <c r="G18" t="s">
        <v>180</v>
      </c>
      <c r="H18" t="s">
        <v>89</v>
      </c>
      <c r="K18">
        <v>3</v>
      </c>
      <c r="L18">
        <v>2</v>
      </c>
      <c r="M18" s="17">
        <v>0</v>
      </c>
      <c r="N18" s="18">
        <v>0</v>
      </c>
      <c r="O18" s="17">
        <v>2</v>
      </c>
      <c r="P18" s="18">
        <v>0.666667</v>
      </c>
      <c r="Q18" s="17">
        <v>0</v>
      </c>
      <c r="R18" s="18">
        <v>0</v>
      </c>
      <c r="S18" s="17">
        <v>0</v>
      </c>
      <c r="T18" s="18">
        <v>0</v>
      </c>
      <c r="U18">
        <v>0</v>
      </c>
      <c r="V18" s="18">
        <v>0</v>
      </c>
      <c r="W18">
        <v>0</v>
      </c>
      <c r="X18" s="18">
        <v>0</v>
      </c>
      <c r="Y18" s="17">
        <v>4</v>
      </c>
      <c r="Z18" s="18">
        <v>2</v>
      </c>
      <c r="AA18">
        <v>0</v>
      </c>
      <c r="AB18" s="18">
        <v>0</v>
      </c>
      <c r="AC18">
        <v>0</v>
      </c>
      <c r="AD18" s="18">
        <v>0</v>
      </c>
      <c r="AE18" s="19">
        <v>0</v>
      </c>
      <c r="AF18" s="19">
        <v>0</v>
      </c>
      <c r="AG18" s="19">
        <v>5</v>
      </c>
      <c r="AH18" s="19">
        <v>2.5</v>
      </c>
      <c r="AI18" s="19">
        <v>0</v>
      </c>
      <c r="AJ18" s="19">
        <v>0</v>
      </c>
      <c r="AK18" s="19">
        <v>0</v>
      </c>
      <c r="AL18" s="19">
        <v>0</v>
      </c>
      <c r="AM18" s="16">
        <v>0.45</v>
      </c>
      <c r="AP18">
        <v>3</v>
      </c>
      <c r="AQ18">
        <v>3</v>
      </c>
      <c r="AR18">
        <v>3</v>
      </c>
      <c r="AS18" s="18">
        <v>1.5</v>
      </c>
      <c r="AT18" s="18">
        <v>1.5</v>
      </c>
      <c r="AU18">
        <v>100</v>
      </c>
    </row>
    <row r="19" spans="1:47">
      <c r="A19" t="s">
        <v>110</v>
      </c>
      <c r="B19" t="s">
        <v>110</v>
      </c>
      <c r="C19" t="s">
        <v>180</v>
      </c>
      <c r="D19" t="s">
        <v>180</v>
      </c>
      <c r="E19" t="s">
        <v>85</v>
      </c>
      <c r="F19" t="s">
        <v>181</v>
      </c>
      <c r="G19" t="s">
        <v>180</v>
      </c>
      <c r="H19" t="s">
        <v>89</v>
      </c>
      <c r="K19">
        <v>14</v>
      </c>
      <c r="L19">
        <v>9</v>
      </c>
      <c r="M19" s="17">
        <v>0</v>
      </c>
      <c r="N19" s="18">
        <v>0</v>
      </c>
      <c r="O19" s="17">
        <v>6</v>
      </c>
      <c r="P19" s="18">
        <v>0.428571</v>
      </c>
      <c r="Q19" s="17">
        <v>0</v>
      </c>
      <c r="R19" s="18">
        <v>0</v>
      </c>
      <c r="S19" s="17">
        <v>2</v>
      </c>
      <c r="T19" s="18">
        <v>0.142857</v>
      </c>
      <c r="U19">
        <v>0</v>
      </c>
      <c r="V19" s="18">
        <v>0</v>
      </c>
      <c r="W19">
        <v>0</v>
      </c>
      <c r="X19" s="18">
        <v>0</v>
      </c>
      <c r="Y19" s="17">
        <v>54</v>
      </c>
      <c r="Z19" s="18">
        <v>6</v>
      </c>
      <c r="AA19">
        <v>1</v>
      </c>
      <c r="AB19" s="18">
        <v>0.07142900000000001</v>
      </c>
      <c r="AC19">
        <v>0</v>
      </c>
      <c r="AD19" s="18">
        <v>0</v>
      </c>
      <c r="AE19" s="19">
        <v>1</v>
      </c>
      <c r="AF19" s="19">
        <v>0.07142900000000001</v>
      </c>
      <c r="AG19" s="19">
        <v>73</v>
      </c>
      <c r="AH19" s="19">
        <v>8.111110999999999</v>
      </c>
      <c r="AI19" s="19">
        <v>0</v>
      </c>
      <c r="AJ19" s="19">
        <v>0</v>
      </c>
      <c r="AK19" s="19">
        <v>4.45</v>
      </c>
      <c r="AL19" s="19">
        <v>0.494444</v>
      </c>
      <c r="AM19" s="16">
        <v>0.372448</v>
      </c>
      <c r="AP19">
        <v>14</v>
      </c>
      <c r="AQ19">
        <v>-47.9</v>
      </c>
      <c r="AR19">
        <v>-47.9</v>
      </c>
      <c r="AS19" s="18">
        <v>-5.322222</v>
      </c>
      <c r="AT19" s="18">
        <v>-5.322222</v>
      </c>
      <c r="AU19">
        <v>0</v>
      </c>
    </row>
    <row r="20" spans="1:47">
      <c r="A20" t="s">
        <v>111</v>
      </c>
      <c r="B20" t="s">
        <v>111</v>
      </c>
      <c r="C20" t="s">
        <v>180</v>
      </c>
      <c r="D20" t="s">
        <v>180</v>
      </c>
      <c r="E20" t="s">
        <v>86</v>
      </c>
      <c r="F20" t="s">
        <v>181</v>
      </c>
      <c r="G20" t="s">
        <v>180</v>
      </c>
      <c r="H20" t="s">
        <v>89</v>
      </c>
      <c r="K20">
        <v>16</v>
      </c>
      <c r="L20">
        <v>12</v>
      </c>
      <c r="M20" s="17">
        <v>0</v>
      </c>
      <c r="N20" s="18">
        <v>0</v>
      </c>
      <c r="O20" s="17">
        <v>4</v>
      </c>
      <c r="P20" s="18">
        <v>0.25</v>
      </c>
      <c r="Q20" s="17">
        <v>0</v>
      </c>
      <c r="R20" s="18">
        <v>0</v>
      </c>
      <c r="S20" s="17">
        <v>0</v>
      </c>
      <c r="T20" s="18">
        <v>0</v>
      </c>
      <c r="U20">
        <v>0</v>
      </c>
      <c r="V20" s="18">
        <v>0</v>
      </c>
      <c r="W20">
        <v>0</v>
      </c>
      <c r="X20" s="18">
        <v>0</v>
      </c>
      <c r="Y20" s="17">
        <v>82</v>
      </c>
      <c r="Z20" s="18">
        <v>6.833333</v>
      </c>
      <c r="AA20">
        <v>0</v>
      </c>
      <c r="AB20" s="18">
        <v>0</v>
      </c>
      <c r="AC20">
        <v>0</v>
      </c>
      <c r="AD20" s="18">
        <v>0</v>
      </c>
      <c r="AE20" s="19">
        <v>0</v>
      </c>
      <c r="AF20" s="19">
        <v>0</v>
      </c>
      <c r="AG20" s="19">
        <v>86</v>
      </c>
      <c r="AH20" s="19">
        <v>7.166667</v>
      </c>
      <c r="AI20" s="19">
        <v>0</v>
      </c>
      <c r="AJ20" s="19">
        <v>0</v>
      </c>
      <c r="AK20" s="19">
        <v>3</v>
      </c>
      <c r="AL20" s="19">
        <v>0.25</v>
      </c>
      <c r="AM20" s="16">
        <v>0.43914</v>
      </c>
      <c r="AP20">
        <v>16</v>
      </c>
      <c r="AQ20">
        <v>-6</v>
      </c>
      <c r="AR20">
        <v>-6</v>
      </c>
      <c r="AS20" s="18">
        <v>-0.5</v>
      </c>
      <c r="AT20" s="18">
        <v>-0.5</v>
      </c>
      <c r="AU20">
        <v>82.31999999999999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5.7109375" customWidth="1"/>
    <col min="3" max="3" width="10.7109375" customWidth="1"/>
    <col min="4" max="4" width="13.7109375" customWidth="1"/>
    <col min="5" max="5" width="6.7109375" customWidth="1"/>
    <col min="6" max="6" width="12.7109375" customWidth="1"/>
    <col min="7" max="7" width="13.7109375" customWidth="1"/>
    <col min="8" max="8" width="7.7109375" customWidth="1"/>
    <col min="9" max="9" width="13.7109375" customWidth="1"/>
    <col min="10" max="10" width="12.7109375" customWidth="1"/>
    <col min="11" max="11" width="20.7109375" customWidth="1"/>
    <col min="12" max="12" width="25.7109375" customWidth="1"/>
    <col min="13" max="13" width="9.140625" style="17"/>
    <col min="14" max="14" width="12.7109375" style="18" customWidth="1"/>
    <col min="15" max="15" width="9.140625" style="17"/>
    <col min="16" max="16" width="12.7109375" style="18" customWidth="1"/>
    <col min="17" max="17" width="9.140625" style="17"/>
    <col min="18" max="18" width="12.7109375" style="18" customWidth="1"/>
    <col min="19" max="19" width="9.140625" style="17"/>
    <col min="20" max="20" width="12.7109375" style="18" customWidth="1"/>
    <col min="21" max="21" width="12.7109375" customWidth="1"/>
    <col min="22" max="22" width="12.7109375" style="18" customWidth="1"/>
    <col min="23" max="23" width="12.7109375" customWidth="1"/>
    <col min="24" max="24" width="12.7109375" style="18" customWidth="1"/>
    <col min="25" max="25" width="9.140625" style="17"/>
    <col min="26" max="26" width="12.7109375" style="18" customWidth="1"/>
    <col min="27" max="27" width="12.7109375" customWidth="1"/>
    <col min="28" max="28" width="12.7109375" style="18" customWidth="1"/>
    <col min="29" max="29" width="12.7109375" customWidth="1"/>
    <col min="30" max="30" width="12.7109375" style="18" customWidth="1"/>
    <col min="31" max="38" width="9.140625" style="19"/>
    <col min="39" max="39" width="14.7109375" style="16" customWidth="1"/>
    <col min="40" max="40" width="16.7109375" customWidth="1"/>
    <col min="41" max="41" width="21.7109375" customWidth="1"/>
    <col min="42" max="43" width="20.7109375" customWidth="1"/>
    <col min="44" max="44" width="27.7109375" customWidth="1"/>
    <col min="45" max="46" width="12.7109375" style="18" customWidth="1"/>
    <col min="47" max="47" width="26.7109375" customWidth="1"/>
  </cols>
  <sheetData>
    <row r="1" spans="1:47">
      <c r="A1" s="15" t="s">
        <v>57</v>
      </c>
      <c r="B1" s="15" t="s">
        <v>132</v>
      </c>
      <c r="C1" s="15" t="s">
        <v>133</v>
      </c>
      <c r="D1" s="15" t="s">
        <v>134</v>
      </c>
      <c r="E1" s="15" t="s">
        <v>135</v>
      </c>
      <c r="F1" s="15" t="s">
        <v>136</v>
      </c>
      <c r="G1" s="15" t="s">
        <v>137</v>
      </c>
      <c r="H1" s="15" t="s">
        <v>138</v>
      </c>
      <c r="I1" s="15" t="s">
        <v>139</v>
      </c>
      <c r="J1" s="15" t="s">
        <v>140</v>
      </c>
      <c r="K1" s="15" t="s">
        <v>141</v>
      </c>
      <c r="L1" s="15" t="s">
        <v>114</v>
      </c>
      <c r="M1" s="15" t="s">
        <v>58</v>
      </c>
      <c r="N1" s="15" t="s">
        <v>142</v>
      </c>
      <c r="O1" s="15" t="s">
        <v>67</v>
      </c>
      <c r="P1" s="15" t="s">
        <v>143</v>
      </c>
      <c r="Q1" s="15" t="s">
        <v>92</v>
      </c>
      <c r="R1" s="15" t="s">
        <v>144</v>
      </c>
      <c r="S1" s="15" t="s">
        <v>145</v>
      </c>
      <c r="T1" s="15" t="s">
        <v>146</v>
      </c>
      <c r="U1" s="15" t="s">
        <v>147</v>
      </c>
      <c r="V1" s="15" t="s">
        <v>148</v>
      </c>
      <c r="W1" s="15" t="s">
        <v>149</v>
      </c>
      <c r="X1" s="15" t="s">
        <v>150</v>
      </c>
      <c r="Y1" s="15" t="s">
        <v>112</v>
      </c>
      <c r="Z1" s="15" t="s">
        <v>151</v>
      </c>
      <c r="AA1" s="15" t="s">
        <v>152</v>
      </c>
      <c r="AB1" s="15" t="s">
        <v>153</v>
      </c>
      <c r="AC1" s="15" t="s">
        <v>154</v>
      </c>
      <c r="AD1" s="15" t="s">
        <v>155</v>
      </c>
      <c r="AE1" s="15" t="s">
        <v>156</v>
      </c>
      <c r="AF1" s="15" t="s">
        <v>157</v>
      </c>
      <c r="AG1" s="15" t="s">
        <v>115</v>
      </c>
      <c r="AH1" s="15" t="s">
        <v>158</v>
      </c>
      <c r="AI1" s="15" t="s">
        <v>159</v>
      </c>
      <c r="AJ1" s="15" t="s">
        <v>160</v>
      </c>
      <c r="AK1" s="15" t="s">
        <v>161</v>
      </c>
      <c r="AL1" s="15" t="s">
        <v>162</v>
      </c>
      <c r="AM1" s="15" t="s">
        <v>113</v>
      </c>
      <c r="AN1" s="15" t="s">
        <v>90</v>
      </c>
      <c r="AO1" s="15" t="s">
        <v>91</v>
      </c>
      <c r="AP1" s="15" t="s">
        <v>163</v>
      </c>
      <c r="AQ1" s="15" t="s">
        <v>164</v>
      </c>
      <c r="AR1" s="15" t="s">
        <v>73</v>
      </c>
      <c r="AS1" s="15" t="s">
        <v>165</v>
      </c>
      <c r="AT1" s="15" t="s">
        <v>116</v>
      </c>
      <c r="AU1" s="15" t="s">
        <v>72</v>
      </c>
    </row>
    <row r="2" spans="1:47">
      <c r="A2" t="s">
        <v>109</v>
      </c>
      <c r="B2" t="s">
        <v>109</v>
      </c>
      <c r="C2" t="s">
        <v>180</v>
      </c>
      <c r="D2" t="s">
        <v>180</v>
      </c>
      <c r="E2" t="s">
        <v>85</v>
      </c>
      <c r="F2" t="s">
        <v>181</v>
      </c>
      <c r="G2" t="s">
        <v>180</v>
      </c>
      <c r="H2" t="s">
        <v>89</v>
      </c>
      <c r="K2">
        <v>3</v>
      </c>
      <c r="L2">
        <v>2</v>
      </c>
      <c r="M2" s="17">
        <v>0</v>
      </c>
      <c r="N2" s="18">
        <v>0</v>
      </c>
      <c r="O2" s="17">
        <v>2</v>
      </c>
      <c r="P2" s="18">
        <v>0.666667</v>
      </c>
      <c r="Q2" s="17">
        <v>0</v>
      </c>
      <c r="R2" s="18">
        <v>0</v>
      </c>
      <c r="S2" s="17">
        <v>0</v>
      </c>
      <c r="T2" s="18">
        <v>0</v>
      </c>
      <c r="U2">
        <v>0</v>
      </c>
      <c r="V2" s="18">
        <v>0</v>
      </c>
      <c r="W2">
        <v>0</v>
      </c>
      <c r="X2" s="18">
        <v>0</v>
      </c>
      <c r="Y2" s="17">
        <v>4</v>
      </c>
      <c r="Z2" s="18">
        <v>2</v>
      </c>
      <c r="AA2">
        <v>0</v>
      </c>
      <c r="AB2" s="18">
        <v>0</v>
      </c>
      <c r="AC2">
        <v>0</v>
      </c>
      <c r="AD2" s="18">
        <v>0</v>
      </c>
      <c r="AE2" s="19">
        <v>0</v>
      </c>
      <c r="AF2" s="19">
        <v>0</v>
      </c>
      <c r="AG2" s="19">
        <v>5</v>
      </c>
      <c r="AH2" s="19">
        <v>2.5</v>
      </c>
      <c r="AI2" s="19">
        <v>0</v>
      </c>
      <c r="AJ2" s="19">
        <v>0</v>
      </c>
      <c r="AK2" s="19">
        <v>0</v>
      </c>
      <c r="AL2" s="19">
        <v>0</v>
      </c>
      <c r="AM2" s="16">
        <v>0.45</v>
      </c>
      <c r="AP2">
        <v>3</v>
      </c>
      <c r="AQ2">
        <v>3</v>
      </c>
      <c r="AR2">
        <v>3</v>
      </c>
      <c r="AS2" s="18">
        <v>1.5</v>
      </c>
      <c r="AT2" s="18">
        <v>1.5</v>
      </c>
      <c r="AU2">
        <v>100</v>
      </c>
    </row>
    <row r="3" spans="1:47">
      <c r="A3" t="s">
        <v>110</v>
      </c>
      <c r="B3" t="s">
        <v>110</v>
      </c>
      <c r="C3" t="s">
        <v>180</v>
      </c>
      <c r="D3" t="s">
        <v>180</v>
      </c>
      <c r="E3" t="s">
        <v>85</v>
      </c>
      <c r="F3" t="s">
        <v>181</v>
      </c>
      <c r="G3" t="s">
        <v>180</v>
      </c>
      <c r="H3" t="s">
        <v>89</v>
      </c>
      <c r="K3">
        <v>14</v>
      </c>
      <c r="L3">
        <v>9</v>
      </c>
      <c r="M3" s="17">
        <v>0</v>
      </c>
      <c r="N3" s="18">
        <v>0</v>
      </c>
      <c r="O3" s="17">
        <v>6</v>
      </c>
      <c r="P3" s="18">
        <v>0.428571</v>
      </c>
      <c r="Q3" s="17">
        <v>0</v>
      </c>
      <c r="R3" s="18">
        <v>0</v>
      </c>
      <c r="S3" s="17">
        <v>2</v>
      </c>
      <c r="T3" s="18">
        <v>0.142857</v>
      </c>
      <c r="U3">
        <v>0</v>
      </c>
      <c r="V3" s="18">
        <v>0</v>
      </c>
      <c r="W3">
        <v>0</v>
      </c>
      <c r="X3" s="18">
        <v>0</v>
      </c>
      <c r="Y3" s="17">
        <v>54</v>
      </c>
      <c r="Z3" s="18">
        <v>6</v>
      </c>
      <c r="AA3">
        <v>1</v>
      </c>
      <c r="AB3" s="18">
        <v>0.07142900000000001</v>
      </c>
      <c r="AC3">
        <v>0</v>
      </c>
      <c r="AD3" s="18">
        <v>0</v>
      </c>
      <c r="AE3" s="19">
        <v>1</v>
      </c>
      <c r="AF3" s="19">
        <v>0.07142900000000001</v>
      </c>
      <c r="AG3" s="19">
        <v>73</v>
      </c>
      <c r="AH3" s="19">
        <v>8.111110999999999</v>
      </c>
      <c r="AI3" s="19">
        <v>0</v>
      </c>
      <c r="AJ3" s="19">
        <v>0</v>
      </c>
      <c r="AK3" s="19">
        <v>4.45</v>
      </c>
      <c r="AL3" s="19">
        <v>0.494444</v>
      </c>
      <c r="AM3" s="16">
        <v>0.372448</v>
      </c>
      <c r="AP3">
        <v>14</v>
      </c>
      <c r="AQ3">
        <v>-47.9</v>
      </c>
      <c r="AR3">
        <v>-47.9</v>
      </c>
      <c r="AS3" s="18">
        <v>-5.322222</v>
      </c>
      <c r="AT3" s="18">
        <v>-5.322222</v>
      </c>
      <c r="AU3">
        <v>0</v>
      </c>
    </row>
    <row r="4" spans="1:47">
      <c r="A4" t="s">
        <v>111</v>
      </c>
      <c r="B4" t="s">
        <v>111</v>
      </c>
      <c r="C4" t="s">
        <v>180</v>
      </c>
      <c r="D4" t="s">
        <v>180</v>
      </c>
      <c r="E4" t="s">
        <v>86</v>
      </c>
      <c r="F4" t="s">
        <v>181</v>
      </c>
      <c r="G4" t="s">
        <v>180</v>
      </c>
      <c r="H4" t="s">
        <v>89</v>
      </c>
      <c r="K4">
        <v>16</v>
      </c>
      <c r="L4">
        <v>12</v>
      </c>
      <c r="M4" s="17">
        <v>0</v>
      </c>
      <c r="N4" s="18">
        <v>0</v>
      </c>
      <c r="O4" s="17">
        <v>4</v>
      </c>
      <c r="P4" s="18">
        <v>0.25</v>
      </c>
      <c r="Q4" s="17">
        <v>0</v>
      </c>
      <c r="R4" s="18">
        <v>0</v>
      </c>
      <c r="S4" s="17">
        <v>0</v>
      </c>
      <c r="T4" s="18">
        <v>0</v>
      </c>
      <c r="U4">
        <v>0</v>
      </c>
      <c r="V4" s="18">
        <v>0</v>
      </c>
      <c r="W4">
        <v>0</v>
      </c>
      <c r="X4" s="18">
        <v>0</v>
      </c>
      <c r="Y4" s="17">
        <v>82</v>
      </c>
      <c r="Z4" s="18">
        <v>6.833333</v>
      </c>
      <c r="AA4">
        <v>0</v>
      </c>
      <c r="AB4" s="18">
        <v>0</v>
      </c>
      <c r="AC4">
        <v>0</v>
      </c>
      <c r="AD4" s="18">
        <v>0</v>
      </c>
      <c r="AE4" s="19">
        <v>0</v>
      </c>
      <c r="AF4" s="19">
        <v>0</v>
      </c>
      <c r="AG4" s="19">
        <v>86</v>
      </c>
      <c r="AH4" s="19">
        <v>7.166667</v>
      </c>
      <c r="AI4" s="19">
        <v>0</v>
      </c>
      <c r="AJ4" s="19">
        <v>0</v>
      </c>
      <c r="AK4" s="19">
        <v>3</v>
      </c>
      <c r="AL4" s="19">
        <v>0.25</v>
      </c>
      <c r="AM4" s="16">
        <v>0.43914</v>
      </c>
      <c r="AP4">
        <v>16</v>
      </c>
      <c r="AQ4">
        <v>-6</v>
      </c>
      <c r="AR4">
        <v>-6</v>
      </c>
      <c r="AS4" s="18">
        <v>-0.5</v>
      </c>
      <c r="AT4" s="18">
        <v>-0.5</v>
      </c>
      <c r="AU4">
        <v>82.31999999999999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2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3" width="13.7109375" customWidth="1"/>
    <col min="4" max="4" width="6.7109375" customWidth="1"/>
    <col min="5" max="5" width="12.7109375" customWidth="1"/>
    <col min="6" max="6" width="22.7109375" customWidth="1"/>
    <col min="7" max="7" width="7.7109375" customWidth="1"/>
    <col min="8" max="8" width="13.7109375" customWidth="1"/>
    <col min="9" max="9" width="20.7109375" customWidth="1"/>
    <col min="10" max="10" width="25.7109375" customWidth="1"/>
    <col min="11" max="11" width="20.7109375" customWidth="1"/>
    <col min="12" max="12" width="27.7109375" customWidth="1"/>
    <col min="13" max="14" width="12.7109375" style="18" customWidth="1"/>
    <col min="15" max="15" width="17.7109375" customWidth="1"/>
    <col min="16" max="16" width="26.7109375" customWidth="1"/>
    <col min="17" max="17" width="16.7109375" customWidth="1"/>
    <col min="18" max="18" width="12.7109375" style="18" customWidth="1"/>
  </cols>
  <sheetData>
    <row r="1" spans="1:18">
      <c r="A1" s="15" t="s">
        <v>57</v>
      </c>
      <c r="B1" s="15" t="s">
        <v>133</v>
      </c>
      <c r="C1" s="15" t="s">
        <v>134</v>
      </c>
      <c r="D1" s="15" t="s">
        <v>135</v>
      </c>
      <c r="E1" s="15" t="s">
        <v>136</v>
      </c>
      <c r="F1" s="15" t="s">
        <v>137</v>
      </c>
      <c r="G1" s="15" t="s">
        <v>138</v>
      </c>
      <c r="H1" s="15" t="s">
        <v>139</v>
      </c>
      <c r="I1" s="15" t="s">
        <v>141</v>
      </c>
      <c r="J1" s="15" t="s">
        <v>114</v>
      </c>
      <c r="K1" s="15" t="s">
        <v>164</v>
      </c>
      <c r="L1" s="15" t="s">
        <v>73</v>
      </c>
      <c r="M1" s="15" t="s">
        <v>165</v>
      </c>
      <c r="N1" s="15" t="s">
        <v>116</v>
      </c>
      <c r="O1" s="15" t="s">
        <v>407</v>
      </c>
      <c r="P1" s="15" t="s">
        <v>72</v>
      </c>
      <c r="Q1" s="15" t="s">
        <v>408</v>
      </c>
      <c r="R1" s="15" t="s">
        <v>409</v>
      </c>
    </row>
    <row r="2" spans="1:18">
      <c r="A2" t="s">
        <v>63</v>
      </c>
      <c r="B2" t="s">
        <v>166</v>
      </c>
      <c r="C2" t="s">
        <v>166</v>
      </c>
      <c r="D2" t="s">
        <v>85</v>
      </c>
      <c r="E2" t="s">
        <v>167</v>
      </c>
      <c r="F2" t="s">
        <v>171</v>
      </c>
      <c r="G2" t="s">
        <v>88</v>
      </c>
      <c r="H2" t="s">
        <v>175</v>
      </c>
      <c r="I2">
        <v>14</v>
      </c>
      <c r="K2">
        <v>117</v>
      </c>
      <c r="L2">
        <v>117</v>
      </c>
      <c r="M2" s="18">
        <v>8.357143000000001</v>
      </c>
      <c r="N2" s="18">
        <v>8.357143000000001</v>
      </c>
      <c r="O2" t="s">
        <v>410</v>
      </c>
      <c r="P2">
        <v>45.36</v>
      </c>
      <c r="Q2">
        <v>5</v>
      </c>
      <c r="R2" s="18">
        <v>6</v>
      </c>
    </row>
    <row r="3" spans="1:18">
      <c r="A3" t="s">
        <v>69</v>
      </c>
      <c r="B3" t="s">
        <v>166</v>
      </c>
      <c r="C3" t="s">
        <v>166</v>
      </c>
      <c r="D3" t="s">
        <v>85</v>
      </c>
      <c r="E3" t="s">
        <v>168</v>
      </c>
      <c r="F3" t="s">
        <v>172</v>
      </c>
      <c r="G3" t="s">
        <v>89</v>
      </c>
      <c r="I3">
        <v>16</v>
      </c>
      <c r="K3">
        <v>5.5</v>
      </c>
      <c r="L3">
        <v>5.5</v>
      </c>
      <c r="M3" s="18">
        <v>0.34375</v>
      </c>
      <c r="N3" s="18">
        <v>0.34375</v>
      </c>
      <c r="O3" t="s">
        <v>410</v>
      </c>
      <c r="P3">
        <v>5.54</v>
      </c>
      <c r="Q3">
        <v>13</v>
      </c>
      <c r="R3" s="18">
        <v>13</v>
      </c>
    </row>
    <row r="4" spans="1:18">
      <c r="A4" t="s">
        <v>60</v>
      </c>
      <c r="B4" t="s">
        <v>166</v>
      </c>
      <c r="C4" t="s">
        <v>166</v>
      </c>
      <c r="D4" t="s">
        <v>85</v>
      </c>
      <c r="E4" t="s">
        <v>167</v>
      </c>
      <c r="F4" t="s">
        <v>171</v>
      </c>
      <c r="G4" t="s">
        <v>88</v>
      </c>
      <c r="H4" t="s">
        <v>176</v>
      </c>
      <c r="I4">
        <v>16</v>
      </c>
      <c r="K4">
        <v>270</v>
      </c>
      <c r="L4">
        <v>270</v>
      </c>
      <c r="M4" s="18">
        <v>16.875</v>
      </c>
      <c r="N4" s="18">
        <v>16.875</v>
      </c>
      <c r="O4" t="s">
        <v>410</v>
      </c>
      <c r="P4">
        <v>100</v>
      </c>
      <c r="Q4">
        <v>1</v>
      </c>
      <c r="R4" s="18">
        <v>1</v>
      </c>
    </row>
    <row r="5" spans="1:18">
      <c r="A5" t="s">
        <v>127</v>
      </c>
      <c r="B5" t="s">
        <v>166</v>
      </c>
      <c r="C5" t="s">
        <v>166</v>
      </c>
      <c r="D5" t="s">
        <v>85</v>
      </c>
      <c r="E5" t="s">
        <v>169</v>
      </c>
      <c r="F5" t="s">
        <v>173</v>
      </c>
      <c r="G5" t="s">
        <v>89</v>
      </c>
      <c r="I5">
        <v>1</v>
      </c>
      <c r="K5">
        <v>9.5</v>
      </c>
      <c r="L5">
        <v>9.5</v>
      </c>
      <c r="M5" s="18">
        <v>9.5</v>
      </c>
      <c r="N5" s="18">
        <v>9.5</v>
      </c>
      <c r="O5" t="s">
        <v>410</v>
      </c>
      <c r="P5">
        <v>6.96</v>
      </c>
      <c r="Q5">
        <v>12</v>
      </c>
      <c r="R5" s="18">
        <v>5</v>
      </c>
    </row>
    <row r="6" spans="1:18">
      <c r="A6" t="s">
        <v>61</v>
      </c>
      <c r="B6" t="s">
        <v>166</v>
      </c>
      <c r="C6" t="s">
        <v>166</v>
      </c>
      <c r="D6" t="s">
        <v>85</v>
      </c>
      <c r="E6" t="s">
        <v>169</v>
      </c>
      <c r="F6" t="s">
        <v>173</v>
      </c>
      <c r="G6" t="s">
        <v>88</v>
      </c>
      <c r="H6" t="s">
        <v>177</v>
      </c>
      <c r="I6">
        <v>15</v>
      </c>
      <c r="K6">
        <v>195</v>
      </c>
      <c r="L6">
        <v>195</v>
      </c>
      <c r="M6" s="18">
        <v>13</v>
      </c>
      <c r="N6" s="18">
        <v>13</v>
      </c>
      <c r="O6" t="s">
        <v>410</v>
      </c>
      <c r="P6">
        <v>73.20999999999999</v>
      </c>
      <c r="Q6">
        <v>3</v>
      </c>
      <c r="R6" s="18">
        <v>3</v>
      </c>
    </row>
    <row r="7" spans="1:18">
      <c r="A7" t="s">
        <v>68</v>
      </c>
      <c r="B7" t="s">
        <v>166</v>
      </c>
      <c r="C7" t="s">
        <v>166</v>
      </c>
      <c r="D7" t="s">
        <v>85</v>
      </c>
      <c r="E7" t="s">
        <v>170</v>
      </c>
      <c r="F7" t="s">
        <v>174</v>
      </c>
      <c r="G7" t="s">
        <v>89</v>
      </c>
      <c r="I7">
        <v>16</v>
      </c>
      <c r="K7">
        <v>56</v>
      </c>
      <c r="L7">
        <v>56</v>
      </c>
      <c r="M7" s="18">
        <v>3.5</v>
      </c>
      <c r="N7" s="18">
        <v>3.5</v>
      </c>
      <c r="O7" t="s">
        <v>410</v>
      </c>
      <c r="P7">
        <v>23.57</v>
      </c>
      <c r="Q7">
        <v>9</v>
      </c>
      <c r="R7" s="18">
        <v>10</v>
      </c>
    </row>
    <row r="8" spans="1:18">
      <c r="A8" t="s">
        <v>65</v>
      </c>
      <c r="B8" t="s">
        <v>166</v>
      </c>
      <c r="C8" t="s">
        <v>166</v>
      </c>
      <c r="D8" t="s">
        <v>86</v>
      </c>
      <c r="E8" t="s">
        <v>170</v>
      </c>
      <c r="F8" t="s">
        <v>174</v>
      </c>
      <c r="G8" t="s">
        <v>89</v>
      </c>
      <c r="I8">
        <v>15</v>
      </c>
      <c r="K8">
        <v>116.5</v>
      </c>
      <c r="L8">
        <v>116.5</v>
      </c>
      <c r="M8" s="18">
        <v>7.766667</v>
      </c>
      <c r="N8" s="18">
        <v>7.766667</v>
      </c>
      <c r="O8" t="s">
        <v>410</v>
      </c>
      <c r="P8">
        <v>45.18</v>
      </c>
      <c r="Q8">
        <v>6</v>
      </c>
      <c r="R8" s="18">
        <v>7</v>
      </c>
    </row>
    <row r="9" spans="1:18">
      <c r="A9" t="s">
        <v>64</v>
      </c>
      <c r="B9" t="s">
        <v>166</v>
      </c>
      <c r="C9" t="s">
        <v>166</v>
      </c>
      <c r="D9" t="s">
        <v>85</v>
      </c>
      <c r="E9" t="s">
        <v>168</v>
      </c>
      <c r="F9" t="s">
        <v>172</v>
      </c>
      <c r="G9" t="s">
        <v>88</v>
      </c>
      <c r="H9" t="s">
        <v>178</v>
      </c>
      <c r="I9">
        <v>15</v>
      </c>
      <c r="K9">
        <v>111.5</v>
      </c>
      <c r="L9">
        <v>111.5</v>
      </c>
      <c r="M9" s="18">
        <v>7.433333</v>
      </c>
      <c r="N9" s="18">
        <v>7.433333</v>
      </c>
      <c r="O9" t="s">
        <v>410</v>
      </c>
      <c r="P9">
        <v>43.39</v>
      </c>
      <c r="Q9">
        <v>7</v>
      </c>
      <c r="R9" s="18">
        <v>8</v>
      </c>
    </row>
    <row r="10" spans="1:18">
      <c r="A10" t="s">
        <v>128</v>
      </c>
      <c r="B10" t="s">
        <v>166</v>
      </c>
      <c r="C10" t="s">
        <v>166</v>
      </c>
      <c r="D10" t="s">
        <v>85</v>
      </c>
      <c r="E10" t="s">
        <v>167</v>
      </c>
      <c r="F10" t="s">
        <v>171</v>
      </c>
      <c r="G10" t="s">
        <v>89</v>
      </c>
      <c r="I10">
        <v>1</v>
      </c>
      <c r="K10">
        <v>0</v>
      </c>
      <c r="L10">
        <v>0</v>
      </c>
      <c r="M10" s="18">
        <v>0</v>
      </c>
      <c r="N10" s="18">
        <v>0</v>
      </c>
      <c r="O10" t="s">
        <v>410</v>
      </c>
      <c r="P10">
        <v>3.57</v>
      </c>
      <c r="Q10">
        <v>14</v>
      </c>
      <c r="R10" s="18">
        <v>14</v>
      </c>
    </row>
    <row r="11" spans="1:18">
      <c r="A11" t="s">
        <v>71</v>
      </c>
      <c r="B11" t="s">
        <v>166</v>
      </c>
      <c r="C11" t="s">
        <v>166</v>
      </c>
      <c r="D11" t="s">
        <v>85</v>
      </c>
      <c r="E11" t="s">
        <v>170</v>
      </c>
      <c r="F11" t="s">
        <v>174</v>
      </c>
      <c r="G11" t="s">
        <v>89</v>
      </c>
      <c r="I11">
        <v>13</v>
      </c>
      <c r="K11">
        <v>83.5</v>
      </c>
      <c r="L11">
        <v>83.5</v>
      </c>
      <c r="M11" s="18">
        <v>6.423077</v>
      </c>
      <c r="N11" s="18">
        <v>6.423077</v>
      </c>
      <c r="O11" t="s">
        <v>410</v>
      </c>
      <c r="P11">
        <v>33.39</v>
      </c>
      <c r="Q11">
        <v>8</v>
      </c>
      <c r="R11" s="18">
        <v>9</v>
      </c>
    </row>
    <row r="12" spans="1:18">
      <c r="A12" t="s">
        <v>129</v>
      </c>
      <c r="B12" t="s">
        <v>166</v>
      </c>
      <c r="C12" t="s">
        <v>166</v>
      </c>
      <c r="D12" t="s">
        <v>85</v>
      </c>
      <c r="E12" t="s">
        <v>170</v>
      </c>
      <c r="F12" t="s">
        <v>174</v>
      </c>
      <c r="G12" t="s">
        <v>89</v>
      </c>
      <c r="I12">
        <v>10</v>
      </c>
      <c r="K12">
        <v>-10</v>
      </c>
      <c r="L12">
        <v>-10</v>
      </c>
      <c r="M12" s="18">
        <v>-1</v>
      </c>
      <c r="N12" s="18">
        <v>-1</v>
      </c>
      <c r="O12" t="s">
        <v>410</v>
      </c>
      <c r="P12">
        <v>0</v>
      </c>
      <c r="Q12">
        <v>16</v>
      </c>
      <c r="R12" s="18">
        <v>15</v>
      </c>
    </row>
    <row r="13" spans="1:18">
      <c r="A13" t="s">
        <v>66</v>
      </c>
      <c r="B13" t="s">
        <v>166</v>
      </c>
      <c r="C13" t="s">
        <v>166</v>
      </c>
      <c r="D13" t="s">
        <v>85</v>
      </c>
      <c r="E13" t="s">
        <v>167</v>
      </c>
      <c r="F13" t="s">
        <v>171</v>
      </c>
      <c r="G13" t="s">
        <v>89</v>
      </c>
      <c r="I13">
        <v>14</v>
      </c>
      <c r="K13">
        <v>47</v>
      </c>
      <c r="L13">
        <v>47</v>
      </c>
      <c r="M13" s="18">
        <v>3.357143</v>
      </c>
      <c r="N13" s="18">
        <v>3.357143</v>
      </c>
      <c r="O13" t="s">
        <v>410</v>
      </c>
      <c r="P13">
        <v>20.36</v>
      </c>
      <c r="Q13">
        <v>11</v>
      </c>
      <c r="R13" s="18">
        <v>11</v>
      </c>
    </row>
    <row r="14" spans="1:18">
      <c r="A14" t="s">
        <v>130</v>
      </c>
      <c r="B14" t="s">
        <v>166</v>
      </c>
      <c r="C14" t="s">
        <v>166</v>
      </c>
      <c r="D14" t="s">
        <v>85</v>
      </c>
      <c r="E14" t="s">
        <v>168</v>
      </c>
      <c r="F14" t="s">
        <v>172</v>
      </c>
      <c r="G14" t="s">
        <v>89</v>
      </c>
      <c r="I14">
        <v>1</v>
      </c>
      <c r="K14">
        <v>-1</v>
      </c>
      <c r="L14">
        <v>-1</v>
      </c>
      <c r="M14" s="18">
        <v>-1</v>
      </c>
      <c r="N14" s="18">
        <v>-1</v>
      </c>
      <c r="O14" t="s">
        <v>410</v>
      </c>
      <c r="P14">
        <v>3.21</v>
      </c>
      <c r="Q14">
        <v>15</v>
      </c>
      <c r="R14" s="18">
        <v>16</v>
      </c>
    </row>
    <row r="15" spans="1:18">
      <c r="A15" t="s">
        <v>70</v>
      </c>
      <c r="B15" t="s">
        <v>166</v>
      </c>
      <c r="C15" t="s">
        <v>166</v>
      </c>
      <c r="D15" t="s">
        <v>85</v>
      </c>
      <c r="E15" t="s">
        <v>170</v>
      </c>
      <c r="F15" t="s">
        <v>174</v>
      </c>
      <c r="G15" t="s">
        <v>89</v>
      </c>
      <c r="I15">
        <v>16</v>
      </c>
      <c r="K15">
        <v>51.5</v>
      </c>
      <c r="L15">
        <v>51.5</v>
      </c>
      <c r="M15" s="18">
        <v>3.21875</v>
      </c>
      <c r="N15" s="18">
        <v>3.21875</v>
      </c>
      <c r="O15" t="s">
        <v>410</v>
      </c>
      <c r="P15">
        <v>21.96</v>
      </c>
      <c r="Q15">
        <v>10</v>
      </c>
      <c r="R15" s="18">
        <v>12</v>
      </c>
    </row>
    <row r="16" spans="1:18">
      <c r="A16" t="s">
        <v>62</v>
      </c>
      <c r="B16" t="s">
        <v>166</v>
      </c>
      <c r="C16" t="s">
        <v>166</v>
      </c>
      <c r="D16" t="s">
        <v>85</v>
      </c>
      <c r="E16" t="s">
        <v>169</v>
      </c>
      <c r="F16" t="s">
        <v>173</v>
      </c>
      <c r="G16" t="s">
        <v>89</v>
      </c>
      <c r="I16">
        <v>15</v>
      </c>
      <c r="K16">
        <v>164.5</v>
      </c>
      <c r="L16">
        <v>164.5</v>
      </c>
      <c r="M16" s="18">
        <v>10.966667</v>
      </c>
      <c r="N16" s="18">
        <v>10.966667</v>
      </c>
      <c r="O16" t="s">
        <v>410</v>
      </c>
      <c r="P16">
        <v>62.32</v>
      </c>
      <c r="Q16">
        <v>4</v>
      </c>
      <c r="R16" s="18">
        <v>4</v>
      </c>
    </row>
    <row r="17" spans="1:18">
      <c r="A17" t="s">
        <v>59</v>
      </c>
      <c r="B17" t="s">
        <v>166</v>
      </c>
      <c r="C17" t="s">
        <v>166</v>
      </c>
      <c r="D17" t="s">
        <v>85</v>
      </c>
      <c r="E17" t="s">
        <v>167</v>
      </c>
      <c r="F17" t="s">
        <v>171</v>
      </c>
      <c r="G17" t="s">
        <v>89</v>
      </c>
      <c r="I17">
        <v>16</v>
      </c>
      <c r="K17">
        <v>265.5</v>
      </c>
      <c r="L17">
        <v>265.5</v>
      </c>
      <c r="M17" s="18">
        <v>16.59375</v>
      </c>
      <c r="N17" s="18">
        <v>16.59375</v>
      </c>
      <c r="O17" t="s">
        <v>410</v>
      </c>
      <c r="P17">
        <v>98.39</v>
      </c>
      <c r="Q17">
        <v>2</v>
      </c>
      <c r="R17" s="18">
        <v>2</v>
      </c>
    </row>
    <row r="18" spans="1:18">
      <c r="A18" t="s">
        <v>109</v>
      </c>
      <c r="B18" t="s">
        <v>180</v>
      </c>
      <c r="C18" t="s">
        <v>180</v>
      </c>
      <c r="D18" t="s">
        <v>85</v>
      </c>
      <c r="E18" t="s">
        <v>181</v>
      </c>
      <c r="F18" t="s">
        <v>180</v>
      </c>
      <c r="G18" t="s">
        <v>89</v>
      </c>
      <c r="I18">
        <v>3</v>
      </c>
      <c r="J18">
        <v>2</v>
      </c>
      <c r="K18">
        <v>3</v>
      </c>
      <c r="L18">
        <v>3</v>
      </c>
      <c r="M18" s="18">
        <v>1.5</v>
      </c>
      <c r="N18" s="18">
        <v>1.5</v>
      </c>
      <c r="O18" t="s">
        <v>410</v>
      </c>
      <c r="P18">
        <v>100</v>
      </c>
      <c r="Q18">
        <v>1</v>
      </c>
      <c r="R18" s="18">
        <v>1</v>
      </c>
    </row>
    <row r="19" spans="1:18">
      <c r="A19" t="s">
        <v>110</v>
      </c>
      <c r="B19" t="s">
        <v>180</v>
      </c>
      <c r="C19" t="s">
        <v>180</v>
      </c>
      <c r="D19" t="s">
        <v>85</v>
      </c>
      <c r="E19" t="s">
        <v>181</v>
      </c>
      <c r="F19" t="s">
        <v>180</v>
      </c>
      <c r="G19" t="s">
        <v>89</v>
      </c>
      <c r="I19">
        <v>14</v>
      </c>
      <c r="J19">
        <v>9</v>
      </c>
      <c r="K19">
        <v>-47.9</v>
      </c>
      <c r="L19">
        <v>-47.9</v>
      </c>
      <c r="M19" s="18">
        <v>-5.322222</v>
      </c>
      <c r="N19" s="18">
        <v>-5.322222</v>
      </c>
      <c r="O19" t="s">
        <v>410</v>
      </c>
      <c r="P19">
        <v>0</v>
      </c>
      <c r="Q19">
        <v>3</v>
      </c>
      <c r="R19" s="18">
        <v>3</v>
      </c>
    </row>
    <row r="20" spans="1:18">
      <c r="A20" t="s">
        <v>111</v>
      </c>
      <c r="B20" t="s">
        <v>180</v>
      </c>
      <c r="C20" t="s">
        <v>180</v>
      </c>
      <c r="D20" t="s">
        <v>86</v>
      </c>
      <c r="E20" t="s">
        <v>181</v>
      </c>
      <c r="F20" t="s">
        <v>180</v>
      </c>
      <c r="G20" t="s">
        <v>89</v>
      </c>
      <c r="I20">
        <v>16</v>
      </c>
      <c r="J20">
        <v>12</v>
      </c>
      <c r="K20">
        <v>-6</v>
      </c>
      <c r="L20">
        <v>-6</v>
      </c>
      <c r="M20" s="18">
        <v>-0.5</v>
      </c>
      <c r="N20" s="18">
        <v>-0.5</v>
      </c>
      <c r="O20" t="s">
        <v>410</v>
      </c>
      <c r="P20">
        <v>82.31999999999999</v>
      </c>
      <c r="Q20">
        <v>2</v>
      </c>
      <c r="R20" s="18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FormatPr defaultRowHeight="15"/>
  <cols>
    <col min="1" max="1" width="37.7109375" customWidth="1"/>
    <col min="2" max="2" width="11.7109375" customWidth="1"/>
    <col min="3" max="3" width="21.7109375" customWidth="1"/>
    <col min="4" max="4" width="20.7109375" customWidth="1"/>
    <col min="5" max="5" width="27.7109375" customWidth="1"/>
    <col min="6" max="6" width="20.7109375" customWidth="1"/>
  </cols>
  <sheetData>
    <row r="1" spans="1:4">
      <c r="A1" s="20" t="s">
        <v>411</v>
      </c>
    </row>
    <row r="2" spans="1:4">
      <c r="A2" s="12" t="s">
        <v>40</v>
      </c>
      <c r="B2" s="12" t="s">
        <v>57</v>
      </c>
      <c r="C2" s="12" t="s">
        <v>58</v>
      </c>
      <c r="D2" s="12" t="s">
        <v>141</v>
      </c>
    </row>
    <row r="3" spans="1:4">
      <c r="A3" s="12">
        <v>1</v>
      </c>
      <c r="B3" s="12" t="s">
        <v>59</v>
      </c>
      <c r="C3" s="12">
        <v>57</v>
      </c>
      <c r="D3" s="12">
        <v>16</v>
      </c>
    </row>
    <row r="4" spans="1:4">
      <c r="A4" s="12">
        <v>2</v>
      </c>
      <c r="B4" s="12" t="s">
        <v>60</v>
      </c>
      <c r="C4" s="12">
        <v>36</v>
      </c>
      <c r="D4" s="12">
        <v>16</v>
      </c>
    </row>
    <row r="5" spans="1:4">
      <c r="A5" s="12">
        <v>3</v>
      </c>
      <c r="B5" s="12" t="s">
        <v>61</v>
      </c>
      <c r="C5" s="12">
        <v>22</v>
      </c>
      <c r="D5" s="12">
        <v>15</v>
      </c>
    </row>
    <row r="6" spans="1:4">
      <c r="A6" s="12">
        <v>4</v>
      </c>
      <c r="B6" s="12" t="s">
        <v>62</v>
      </c>
      <c r="C6" s="12">
        <v>19</v>
      </c>
      <c r="D6" s="12">
        <v>15</v>
      </c>
    </row>
    <row r="7" spans="1:4">
      <c r="A7" s="12">
        <v>5</v>
      </c>
      <c r="B7" s="12" t="s">
        <v>63</v>
      </c>
      <c r="C7" s="12">
        <v>16</v>
      </c>
      <c r="D7" s="12">
        <v>14</v>
      </c>
    </row>
    <row r="8" spans="1:4">
      <c r="A8" s="12">
        <v>6</v>
      </c>
      <c r="B8" s="12" t="s">
        <v>64</v>
      </c>
      <c r="C8" s="12">
        <v>16</v>
      </c>
      <c r="D8" s="12">
        <v>15</v>
      </c>
    </row>
    <row r="9" spans="1:4">
      <c r="A9" s="12">
        <v>7</v>
      </c>
      <c r="B9" s="12" t="s">
        <v>65</v>
      </c>
      <c r="C9" s="12">
        <v>15</v>
      </c>
      <c r="D9" s="12">
        <v>15</v>
      </c>
    </row>
    <row r="10" spans="1:4">
      <c r="A10" s="12">
        <v>8</v>
      </c>
      <c r="B10" s="12" t="s">
        <v>66</v>
      </c>
      <c r="C10" s="12">
        <v>11</v>
      </c>
      <c r="D10" s="12">
        <v>14</v>
      </c>
    </row>
    <row r="11" spans="1:4">
      <c r="A11" s="12">
        <v>9</v>
      </c>
      <c r="B11" s="12" t="s">
        <v>71</v>
      </c>
      <c r="C11" s="12">
        <v>10</v>
      </c>
      <c r="D11" s="12">
        <v>13</v>
      </c>
    </row>
    <row r="12" spans="1:4">
      <c r="A12" s="12">
        <v>10</v>
      </c>
      <c r="B12" s="12" t="s">
        <v>68</v>
      </c>
      <c r="C12" s="12">
        <v>4</v>
      </c>
      <c r="D12" s="12">
        <v>16</v>
      </c>
    </row>
    <row r="13" spans="1:4">
      <c r="A13" s="12">
        <v>11</v>
      </c>
      <c r="B13" s="12" t="s">
        <v>69</v>
      </c>
      <c r="C13" s="12">
        <v>3</v>
      </c>
      <c r="D13" s="12">
        <v>16</v>
      </c>
    </row>
    <row r="14" spans="1:4">
      <c r="A14" s="12">
        <v>12</v>
      </c>
      <c r="B14" s="12" t="s">
        <v>127</v>
      </c>
      <c r="C14" s="12">
        <v>1</v>
      </c>
      <c r="D14" s="12">
        <v>1</v>
      </c>
    </row>
    <row r="15" spans="1:4">
      <c r="A15" s="12">
        <v>13</v>
      </c>
      <c r="B15" s="12" t="s">
        <v>70</v>
      </c>
      <c r="C15" s="12">
        <v>1</v>
      </c>
      <c r="D15" s="12">
        <v>16</v>
      </c>
    </row>
    <row r="16" spans="1:4">
      <c r="A16" s="12">
        <v>14</v>
      </c>
      <c r="B16" s="12" t="s">
        <v>128</v>
      </c>
      <c r="C16" s="12">
        <v>0</v>
      </c>
      <c r="D16" s="12">
        <v>1</v>
      </c>
    </row>
    <row r="17" spans="1:4">
      <c r="A17" s="12">
        <v>15</v>
      </c>
      <c r="B17" s="12" t="s">
        <v>129</v>
      </c>
      <c r="C17" s="12">
        <v>0</v>
      </c>
      <c r="D17" s="12">
        <v>10</v>
      </c>
    </row>
    <row r="18" spans="1:4">
      <c r="A18" s="12">
        <v>16</v>
      </c>
      <c r="B18" s="12" t="s">
        <v>130</v>
      </c>
      <c r="C18" s="12">
        <v>0</v>
      </c>
      <c r="D18" s="12">
        <v>1</v>
      </c>
    </row>
    <row r="20" spans="1:4">
      <c r="A20" s="20" t="s">
        <v>412</v>
      </c>
    </row>
    <row r="21" spans="1:4">
      <c r="A21" s="12" t="s">
        <v>40</v>
      </c>
      <c r="B21" s="12" t="s">
        <v>57</v>
      </c>
      <c r="C21" s="12" t="s">
        <v>67</v>
      </c>
      <c r="D21" s="12" t="s">
        <v>141</v>
      </c>
    </row>
    <row r="22" spans="1:4">
      <c r="A22" s="12">
        <v>1</v>
      </c>
      <c r="B22" s="12" t="s">
        <v>68</v>
      </c>
      <c r="C22" s="12">
        <v>20</v>
      </c>
      <c r="D22" s="12">
        <v>16</v>
      </c>
    </row>
    <row r="23" spans="1:4">
      <c r="A23" s="12">
        <v>2</v>
      </c>
      <c r="B23" s="12" t="s">
        <v>60</v>
      </c>
      <c r="C23" s="12">
        <v>19</v>
      </c>
      <c r="D23" s="12">
        <v>16</v>
      </c>
    </row>
    <row r="24" spans="1:4">
      <c r="A24" s="12">
        <v>3</v>
      </c>
      <c r="B24" s="12" t="s">
        <v>63</v>
      </c>
      <c r="C24" s="12">
        <v>17</v>
      </c>
      <c r="D24" s="12">
        <v>14</v>
      </c>
    </row>
    <row r="25" spans="1:4">
      <c r="A25" s="12">
        <v>4</v>
      </c>
      <c r="B25" s="12" t="s">
        <v>69</v>
      </c>
      <c r="C25" s="12">
        <v>14</v>
      </c>
      <c r="D25" s="12">
        <v>16</v>
      </c>
    </row>
    <row r="26" spans="1:4">
      <c r="A26" s="12">
        <v>5</v>
      </c>
      <c r="B26" s="12" t="s">
        <v>70</v>
      </c>
      <c r="C26" s="12">
        <v>14</v>
      </c>
      <c r="D26" s="12">
        <v>16</v>
      </c>
    </row>
    <row r="27" spans="1:4">
      <c r="A27" s="12">
        <v>6</v>
      </c>
      <c r="B27" s="12" t="s">
        <v>71</v>
      </c>
      <c r="C27" s="12">
        <v>12</v>
      </c>
      <c r="D27" s="12">
        <v>13</v>
      </c>
    </row>
    <row r="28" spans="1:4">
      <c r="A28" s="12">
        <v>7</v>
      </c>
      <c r="B28" s="12" t="s">
        <v>61</v>
      </c>
      <c r="C28" s="12">
        <v>11</v>
      </c>
      <c r="D28" s="12">
        <v>15</v>
      </c>
    </row>
    <row r="29" spans="1:4">
      <c r="A29" s="12">
        <v>8</v>
      </c>
      <c r="B29" s="12" t="s">
        <v>65</v>
      </c>
      <c r="C29" s="12">
        <v>7</v>
      </c>
      <c r="D29" s="12">
        <v>15</v>
      </c>
    </row>
    <row r="30" spans="1:4">
      <c r="A30" s="12">
        <v>9</v>
      </c>
      <c r="B30" s="12" t="s">
        <v>64</v>
      </c>
      <c r="C30" s="12">
        <v>7</v>
      </c>
      <c r="D30" s="12">
        <v>15</v>
      </c>
    </row>
    <row r="31" spans="1:4">
      <c r="A31" s="12">
        <v>10</v>
      </c>
      <c r="B31" s="12" t="s">
        <v>59</v>
      </c>
      <c r="C31" s="12">
        <v>6</v>
      </c>
      <c r="D31" s="12">
        <v>16</v>
      </c>
    </row>
    <row r="32" spans="1:4">
      <c r="A32" s="12">
        <v>11</v>
      </c>
      <c r="B32" s="12" t="s">
        <v>66</v>
      </c>
      <c r="C32" s="12">
        <v>4</v>
      </c>
      <c r="D32" s="12">
        <v>14</v>
      </c>
    </row>
    <row r="33" spans="1:5">
      <c r="A33" s="12">
        <v>12</v>
      </c>
      <c r="B33" s="12" t="s">
        <v>62</v>
      </c>
      <c r="C33" s="12">
        <v>4</v>
      </c>
      <c r="D33" s="12">
        <v>15</v>
      </c>
    </row>
    <row r="34" spans="1:5">
      <c r="A34" s="12">
        <v>13</v>
      </c>
      <c r="B34" s="12" t="s">
        <v>129</v>
      </c>
      <c r="C34" s="12">
        <v>1</v>
      </c>
      <c r="D34" s="12">
        <v>10</v>
      </c>
    </row>
    <row r="35" spans="1:5">
      <c r="A35" s="12">
        <v>14</v>
      </c>
      <c r="B35" s="12" t="s">
        <v>130</v>
      </c>
      <c r="C35" s="12">
        <v>1</v>
      </c>
      <c r="D35" s="12">
        <v>1</v>
      </c>
    </row>
    <row r="36" spans="1:5">
      <c r="A36" s="12">
        <v>15</v>
      </c>
      <c r="B36" s="12" t="s">
        <v>127</v>
      </c>
      <c r="C36" s="12">
        <v>0</v>
      </c>
      <c r="D36" s="12">
        <v>1</v>
      </c>
    </row>
    <row r="37" spans="1:5">
      <c r="A37" s="12">
        <v>16</v>
      </c>
      <c r="B37" s="12" t="s">
        <v>128</v>
      </c>
      <c r="C37" s="12">
        <v>0</v>
      </c>
      <c r="D37" s="12">
        <v>1</v>
      </c>
    </row>
    <row r="39" spans="1:5">
      <c r="A39" s="20" t="s">
        <v>413</v>
      </c>
    </row>
    <row r="40" spans="1:5">
      <c r="A40" s="12" t="s">
        <v>40</v>
      </c>
      <c r="B40" s="12" t="s">
        <v>57</v>
      </c>
      <c r="C40" s="12" t="s">
        <v>90</v>
      </c>
      <c r="D40" s="12" t="s">
        <v>92</v>
      </c>
      <c r="E40" s="12" t="s">
        <v>141</v>
      </c>
    </row>
    <row r="41" spans="1:5">
      <c r="A41" s="12">
        <v>1</v>
      </c>
      <c r="B41" s="12" t="s">
        <v>59</v>
      </c>
      <c r="C41" s="12">
        <v>0.500387</v>
      </c>
      <c r="D41" s="12">
        <v>118</v>
      </c>
      <c r="E41" s="12">
        <v>16</v>
      </c>
    </row>
    <row r="42" spans="1:5">
      <c r="A42" s="12">
        <v>2</v>
      </c>
      <c r="B42" s="12" t="s">
        <v>62</v>
      </c>
      <c r="C42" s="12">
        <v>0.458333</v>
      </c>
      <c r="D42" s="12">
        <v>33</v>
      </c>
      <c r="E42" s="12">
        <v>15</v>
      </c>
    </row>
    <row r="43" spans="1:5">
      <c r="A43" s="12">
        <v>3</v>
      </c>
      <c r="B43" s="12" t="s">
        <v>60</v>
      </c>
      <c r="C43" s="12">
        <v>0.401337</v>
      </c>
      <c r="D43" s="12">
        <v>85</v>
      </c>
      <c r="E43" s="12">
        <v>16</v>
      </c>
    </row>
    <row r="44" spans="1:5">
      <c r="A44" s="12">
        <v>4</v>
      </c>
      <c r="B44" s="12" t="s">
        <v>63</v>
      </c>
      <c r="C44" s="12">
        <v>0.391026</v>
      </c>
      <c r="D44" s="12">
        <v>33</v>
      </c>
      <c r="E44" s="12">
        <v>14</v>
      </c>
    </row>
    <row r="45" spans="1:5">
      <c r="A45" s="12">
        <v>5</v>
      </c>
      <c r="B45" s="12" t="s">
        <v>61</v>
      </c>
      <c r="C45" s="12">
        <v>0.382143</v>
      </c>
      <c r="D45" s="12">
        <v>51</v>
      </c>
      <c r="E45" s="12">
        <v>15</v>
      </c>
    </row>
    <row r="46" spans="1:5">
      <c r="A46" s="12">
        <v>6</v>
      </c>
      <c r="B46" s="12" t="s">
        <v>65</v>
      </c>
      <c r="C46" s="12">
        <v>0.373299</v>
      </c>
      <c r="D46" s="12">
        <v>40</v>
      </c>
      <c r="E46" s="12">
        <v>15</v>
      </c>
    </row>
    <row r="47" spans="1:5">
      <c r="A47" s="12">
        <v>7</v>
      </c>
      <c r="B47" s="12" t="s">
        <v>66</v>
      </c>
      <c r="C47" s="12">
        <v>0.358974</v>
      </c>
      <c r="D47" s="12">
        <v>27</v>
      </c>
      <c r="E47" s="12">
        <v>14</v>
      </c>
    </row>
    <row r="48" spans="1:5">
      <c r="A48" s="12">
        <v>8</v>
      </c>
      <c r="B48" s="12" t="s">
        <v>64</v>
      </c>
      <c r="C48" s="12">
        <v>0.351361</v>
      </c>
      <c r="D48" s="12">
        <v>46</v>
      </c>
      <c r="E48" s="12">
        <v>15</v>
      </c>
    </row>
    <row r="49" spans="1:6">
      <c r="A49" s="12">
        <v>9</v>
      </c>
      <c r="B49" s="12" t="s">
        <v>71</v>
      </c>
      <c r="C49" s="12">
        <v>0.333333</v>
      </c>
      <c r="D49" s="12">
        <v>26</v>
      </c>
      <c r="E49" s="12">
        <v>13</v>
      </c>
    </row>
    <row r="50" spans="1:6">
      <c r="A50" s="12">
        <v>10</v>
      </c>
      <c r="B50" s="12" t="s">
        <v>69</v>
      </c>
      <c r="C50" s="12">
        <v>0.133333</v>
      </c>
      <c r="D50" s="12">
        <v>20</v>
      </c>
      <c r="E50" s="12">
        <v>16</v>
      </c>
    </row>
    <row r="51" spans="1:6">
      <c r="A51" s="12">
        <v>11</v>
      </c>
      <c r="B51" s="12" t="s">
        <v>68</v>
      </c>
      <c r="C51" s="12">
        <v>0.094444</v>
      </c>
      <c r="D51" s="12">
        <v>20</v>
      </c>
      <c r="E51" s="12">
        <v>16</v>
      </c>
    </row>
    <row r="52" spans="1:6">
      <c r="A52" s="12">
        <v>12</v>
      </c>
      <c r="B52" s="12" t="s">
        <v>70</v>
      </c>
      <c r="C52" s="12">
        <v>0.033333</v>
      </c>
      <c r="D52" s="12">
        <v>14</v>
      </c>
      <c r="E52" s="12">
        <v>16</v>
      </c>
    </row>
    <row r="53" spans="1:6">
      <c r="A53" s="12">
        <v>13</v>
      </c>
      <c r="B53" s="12" t="s">
        <v>129</v>
      </c>
      <c r="C53" s="12">
        <v>0</v>
      </c>
      <c r="D53" s="12">
        <v>3</v>
      </c>
      <c r="E53" s="12">
        <v>10</v>
      </c>
    </row>
    <row r="55" spans="1:6">
      <c r="A55" s="20" t="s">
        <v>414</v>
      </c>
    </row>
    <row r="56" spans="1:6">
      <c r="A56" s="12" t="s">
        <v>40</v>
      </c>
      <c r="B56" s="12" t="s">
        <v>57</v>
      </c>
      <c r="C56" s="12" t="s">
        <v>91</v>
      </c>
      <c r="D56" s="12" t="s">
        <v>58</v>
      </c>
      <c r="E56" s="12" t="s">
        <v>92</v>
      </c>
      <c r="F56" s="12" t="s">
        <v>141</v>
      </c>
    </row>
    <row r="57" spans="1:6">
      <c r="A57" s="12">
        <v>1</v>
      </c>
      <c r="B57" s="12" t="s">
        <v>62</v>
      </c>
      <c r="C57" s="12">
        <v>0.575758</v>
      </c>
      <c r="D57" s="12">
        <v>19</v>
      </c>
      <c r="E57" s="12">
        <v>33</v>
      </c>
      <c r="F57" s="12">
        <v>15</v>
      </c>
    </row>
    <row r="58" spans="1:6">
      <c r="A58" s="12">
        <v>2</v>
      </c>
      <c r="B58" s="12" t="s">
        <v>63</v>
      </c>
      <c r="C58" s="12">
        <v>0.484848</v>
      </c>
      <c r="D58" s="12">
        <v>16</v>
      </c>
      <c r="E58" s="12">
        <v>33</v>
      </c>
      <c r="F58" s="12">
        <v>14</v>
      </c>
    </row>
    <row r="59" spans="1:6">
      <c r="A59" s="12">
        <v>3</v>
      </c>
      <c r="B59" s="12" t="s">
        <v>59</v>
      </c>
      <c r="C59" s="12">
        <v>0.483051</v>
      </c>
      <c r="D59" s="12">
        <v>57</v>
      </c>
      <c r="E59" s="12">
        <v>118</v>
      </c>
      <c r="F59" s="12">
        <v>16</v>
      </c>
    </row>
    <row r="60" spans="1:6">
      <c r="A60" s="12">
        <v>4</v>
      </c>
      <c r="B60" s="12" t="s">
        <v>61</v>
      </c>
      <c r="C60" s="12">
        <v>0.431373</v>
      </c>
      <c r="D60" s="12">
        <v>22</v>
      </c>
      <c r="E60" s="12">
        <v>51</v>
      </c>
      <c r="F60" s="12">
        <v>15</v>
      </c>
    </row>
    <row r="61" spans="1:6">
      <c r="A61" s="12">
        <v>5</v>
      </c>
      <c r="B61" s="12" t="s">
        <v>60</v>
      </c>
      <c r="C61" s="12">
        <v>0.423529</v>
      </c>
      <c r="D61" s="12">
        <v>36</v>
      </c>
      <c r="E61" s="12">
        <v>85</v>
      </c>
      <c r="F61" s="12">
        <v>16</v>
      </c>
    </row>
    <row r="62" spans="1:6">
      <c r="A62" s="12">
        <v>6</v>
      </c>
      <c r="B62" s="12" t="s">
        <v>66</v>
      </c>
      <c r="C62" s="12">
        <v>0.407407</v>
      </c>
      <c r="D62" s="12">
        <v>11</v>
      </c>
      <c r="E62" s="12">
        <v>27</v>
      </c>
      <c r="F62" s="12">
        <v>14</v>
      </c>
    </row>
    <row r="63" spans="1:6">
      <c r="A63" s="12">
        <v>7</v>
      </c>
      <c r="B63" s="12" t="s">
        <v>71</v>
      </c>
      <c r="C63" s="12">
        <v>0.384615</v>
      </c>
      <c r="D63" s="12">
        <v>10</v>
      </c>
      <c r="E63" s="12">
        <v>26</v>
      </c>
      <c r="F63" s="12">
        <v>13</v>
      </c>
    </row>
    <row r="64" spans="1:6">
      <c r="A64" s="12">
        <v>8</v>
      </c>
      <c r="B64" s="12" t="s">
        <v>65</v>
      </c>
      <c r="C64" s="12">
        <v>0.375</v>
      </c>
      <c r="D64" s="12">
        <v>15</v>
      </c>
      <c r="E64" s="12">
        <v>40</v>
      </c>
      <c r="F64" s="12">
        <v>15</v>
      </c>
    </row>
    <row r="65" spans="1:6">
      <c r="A65" s="12">
        <v>9</v>
      </c>
      <c r="B65" s="12" t="s">
        <v>64</v>
      </c>
      <c r="C65" s="12">
        <v>0.347826</v>
      </c>
      <c r="D65" s="12">
        <v>16</v>
      </c>
      <c r="E65" s="12">
        <v>46</v>
      </c>
      <c r="F65" s="12">
        <v>15</v>
      </c>
    </row>
    <row r="66" spans="1:6">
      <c r="A66" s="12">
        <v>10</v>
      </c>
      <c r="B66" s="12" t="s">
        <v>68</v>
      </c>
      <c r="C66" s="12">
        <v>0.2</v>
      </c>
      <c r="D66" s="12">
        <v>4</v>
      </c>
      <c r="E66" s="12">
        <v>20</v>
      </c>
      <c r="F66" s="12">
        <v>16</v>
      </c>
    </row>
    <row r="67" spans="1:6">
      <c r="A67" s="12">
        <v>11</v>
      </c>
      <c r="B67" s="12" t="s">
        <v>69</v>
      </c>
      <c r="C67" s="12">
        <v>0.15</v>
      </c>
      <c r="D67" s="12">
        <v>3</v>
      </c>
      <c r="E67" s="12">
        <v>20</v>
      </c>
      <c r="F67" s="12">
        <v>16</v>
      </c>
    </row>
    <row r="68" spans="1:6">
      <c r="A68" s="12">
        <v>12</v>
      </c>
      <c r="B68" s="12" t="s">
        <v>70</v>
      </c>
      <c r="C68" s="12">
        <v>0.07142900000000001</v>
      </c>
      <c r="D68" s="12">
        <v>1</v>
      </c>
      <c r="E68" s="12">
        <v>14</v>
      </c>
      <c r="F68" s="12">
        <v>16</v>
      </c>
    </row>
    <row r="69" spans="1:6">
      <c r="A69" s="12">
        <v>13</v>
      </c>
      <c r="B69" s="12" t="s">
        <v>129</v>
      </c>
      <c r="C69" s="12">
        <v>0</v>
      </c>
      <c r="D69" s="12">
        <v>0</v>
      </c>
      <c r="E69" s="12">
        <v>3</v>
      </c>
      <c r="F69" s="12">
        <v>10</v>
      </c>
    </row>
    <row r="71" spans="1:6">
      <c r="A71" s="20" t="s">
        <v>225</v>
      </c>
    </row>
    <row r="72" spans="1:6">
      <c r="A72" s="12" t="s">
        <v>40</v>
      </c>
      <c r="B72" s="12" t="s">
        <v>57</v>
      </c>
      <c r="C72" s="12" t="s">
        <v>145</v>
      </c>
      <c r="D72" s="12" t="s">
        <v>141</v>
      </c>
    </row>
    <row r="73" spans="1:6">
      <c r="A73" s="12">
        <v>1</v>
      </c>
      <c r="B73" s="12" t="s">
        <v>60</v>
      </c>
      <c r="C73" s="12">
        <v>18</v>
      </c>
      <c r="D73" s="12">
        <v>16</v>
      </c>
    </row>
    <row r="74" spans="1:6">
      <c r="A74" s="12">
        <v>2</v>
      </c>
      <c r="B74" s="12" t="s">
        <v>65</v>
      </c>
      <c r="C74" s="12">
        <v>17</v>
      </c>
      <c r="D74" s="12">
        <v>15</v>
      </c>
    </row>
    <row r="75" spans="1:6">
      <c r="A75" s="12">
        <v>3</v>
      </c>
      <c r="B75" s="12" t="s">
        <v>64</v>
      </c>
      <c r="C75" s="12">
        <v>14</v>
      </c>
      <c r="D75" s="12">
        <v>15</v>
      </c>
    </row>
    <row r="76" spans="1:6">
      <c r="A76" s="12">
        <v>4</v>
      </c>
      <c r="B76" s="12" t="s">
        <v>59</v>
      </c>
      <c r="C76" s="12">
        <v>12</v>
      </c>
      <c r="D76" s="12">
        <v>16</v>
      </c>
    </row>
    <row r="77" spans="1:6">
      <c r="A77" s="12">
        <v>5</v>
      </c>
      <c r="B77" s="12" t="s">
        <v>63</v>
      </c>
      <c r="C77" s="12">
        <v>11</v>
      </c>
      <c r="D77" s="12">
        <v>14</v>
      </c>
    </row>
    <row r="78" spans="1:6">
      <c r="A78" s="12">
        <v>6</v>
      </c>
      <c r="B78" s="12" t="s">
        <v>61</v>
      </c>
      <c r="C78" s="12">
        <v>9</v>
      </c>
      <c r="D78" s="12">
        <v>15</v>
      </c>
    </row>
    <row r="79" spans="1:6">
      <c r="A79" s="12">
        <v>7</v>
      </c>
      <c r="B79" s="12" t="s">
        <v>71</v>
      </c>
      <c r="C79" s="12">
        <v>9</v>
      </c>
      <c r="D79" s="12">
        <v>13</v>
      </c>
    </row>
    <row r="80" spans="1:6">
      <c r="A80" s="12">
        <v>8</v>
      </c>
      <c r="B80" s="12" t="s">
        <v>68</v>
      </c>
      <c r="C80" s="12">
        <v>8</v>
      </c>
      <c r="D80" s="12">
        <v>16</v>
      </c>
    </row>
    <row r="81" spans="1:5">
      <c r="A81" s="12">
        <v>9</v>
      </c>
      <c r="B81" s="12" t="s">
        <v>69</v>
      </c>
      <c r="C81" s="12">
        <v>7</v>
      </c>
      <c r="D81" s="12">
        <v>16</v>
      </c>
    </row>
    <row r="82" spans="1:5">
      <c r="A82" s="12">
        <v>10</v>
      </c>
      <c r="B82" s="12" t="s">
        <v>62</v>
      </c>
      <c r="C82" s="12">
        <v>5</v>
      </c>
      <c r="D82" s="12">
        <v>15</v>
      </c>
    </row>
    <row r="83" spans="1:5">
      <c r="A83" s="12">
        <v>11</v>
      </c>
      <c r="B83" s="12" t="s">
        <v>66</v>
      </c>
      <c r="C83" s="12">
        <v>4</v>
      </c>
      <c r="D83" s="12">
        <v>14</v>
      </c>
    </row>
    <row r="84" spans="1:5">
      <c r="A84" s="12">
        <v>12</v>
      </c>
      <c r="B84" s="12" t="s">
        <v>70</v>
      </c>
      <c r="C84" s="12">
        <v>4</v>
      </c>
      <c r="D84" s="12">
        <v>16</v>
      </c>
    </row>
    <row r="85" spans="1:5">
      <c r="A85" s="12">
        <v>13</v>
      </c>
      <c r="B85" s="12" t="s">
        <v>129</v>
      </c>
      <c r="C85" s="12">
        <v>2</v>
      </c>
      <c r="D85" s="12">
        <v>10</v>
      </c>
    </row>
    <row r="86" spans="1:5">
      <c r="A86" s="12">
        <v>14</v>
      </c>
      <c r="B86" s="12" t="s">
        <v>127</v>
      </c>
      <c r="C86" s="12">
        <v>0</v>
      </c>
      <c r="D86" s="12">
        <v>1</v>
      </c>
    </row>
    <row r="87" spans="1:5">
      <c r="A87" s="12">
        <v>15</v>
      </c>
      <c r="B87" s="12" t="s">
        <v>128</v>
      </c>
      <c r="C87" s="12">
        <v>0</v>
      </c>
      <c r="D87" s="12">
        <v>1</v>
      </c>
    </row>
    <row r="88" spans="1:5">
      <c r="A88" s="12">
        <v>16</v>
      </c>
      <c r="B88" s="12" t="s">
        <v>130</v>
      </c>
      <c r="C88" s="12">
        <v>0</v>
      </c>
      <c r="D88" s="12">
        <v>1</v>
      </c>
    </row>
    <row r="90" spans="1:5">
      <c r="A90" s="20" t="s">
        <v>415</v>
      </c>
    </row>
    <row r="91" spans="1:5">
      <c r="A91" s="12" t="s">
        <v>40</v>
      </c>
      <c r="B91" s="12" t="s">
        <v>57</v>
      </c>
      <c r="C91" s="12" t="s">
        <v>164</v>
      </c>
      <c r="D91" s="12" t="s">
        <v>165</v>
      </c>
      <c r="E91" s="12" t="s">
        <v>141</v>
      </c>
    </row>
    <row r="92" spans="1:5">
      <c r="A92" s="12">
        <v>1</v>
      </c>
      <c r="B92" s="12" t="s">
        <v>60</v>
      </c>
      <c r="C92" s="12">
        <v>270</v>
      </c>
      <c r="D92" s="12">
        <v>16.875</v>
      </c>
      <c r="E92" s="12">
        <v>16</v>
      </c>
    </row>
    <row r="93" spans="1:5">
      <c r="A93" s="12">
        <v>2</v>
      </c>
      <c r="B93" s="12" t="s">
        <v>59</v>
      </c>
      <c r="C93" s="12">
        <v>265.5</v>
      </c>
      <c r="D93" s="12">
        <v>16.59375</v>
      </c>
      <c r="E93" s="12">
        <v>16</v>
      </c>
    </row>
    <row r="94" spans="1:5">
      <c r="A94" s="12">
        <v>3</v>
      </c>
      <c r="B94" s="12" t="s">
        <v>61</v>
      </c>
      <c r="C94" s="12">
        <v>195</v>
      </c>
      <c r="D94" s="12">
        <v>13</v>
      </c>
      <c r="E94" s="12">
        <v>15</v>
      </c>
    </row>
    <row r="95" spans="1:5">
      <c r="A95" s="12">
        <v>4</v>
      </c>
      <c r="B95" s="12" t="s">
        <v>62</v>
      </c>
      <c r="C95" s="12">
        <v>164.5</v>
      </c>
      <c r="D95" s="12">
        <v>10.966667</v>
      </c>
      <c r="E95" s="12">
        <v>15</v>
      </c>
    </row>
    <row r="96" spans="1:5">
      <c r="A96" s="12">
        <v>5</v>
      </c>
      <c r="B96" s="12" t="s">
        <v>63</v>
      </c>
      <c r="C96" s="12">
        <v>117</v>
      </c>
      <c r="D96" s="12">
        <v>8.357143000000001</v>
      </c>
      <c r="E96" s="12">
        <v>14</v>
      </c>
    </row>
    <row r="97" spans="1:5">
      <c r="A97" s="12">
        <v>6</v>
      </c>
      <c r="B97" s="12" t="s">
        <v>65</v>
      </c>
      <c r="C97" s="12">
        <v>116.5</v>
      </c>
      <c r="D97" s="12">
        <v>7.766667</v>
      </c>
      <c r="E97" s="12">
        <v>15</v>
      </c>
    </row>
    <row r="98" spans="1:5">
      <c r="A98" s="12">
        <v>7</v>
      </c>
      <c r="B98" s="12" t="s">
        <v>64</v>
      </c>
      <c r="C98" s="12">
        <v>111.5</v>
      </c>
      <c r="D98" s="12">
        <v>7.433333</v>
      </c>
      <c r="E98" s="12">
        <v>15</v>
      </c>
    </row>
    <row r="99" spans="1:5">
      <c r="A99" s="12">
        <v>8</v>
      </c>
      <c r="B99" s="12" t="s">
        <v>71</v>
      </c>
      <c r="C99" s="12">
        <v>83.5</v>
      </c>
      <c r="D99" s="12">
        <v>6.423077</v>
      </c>
      <c r="E99" s="12">
        <v>13</v>
      </c>
    </row>
    <row r="100" spans="1:5">
      <c r="A100" s="12">
        <v>9</v>
      </c>
      <c r="B100" s="12" t="s">
        <v>68</v>
      </c>
      <c r="C100" s="12">
        <v>56</v>
      </c>
      <c r="D100" s="12">
        <v>3.5</v>
      </c>
      <c r="E100" s="12">
        <v>16</v>
      </c>
    </row>
    <row r="101" spans="1:5">
      <c r="A101" s="12">
        <v>10</v>
      </c>
      <c r="B101" s="12" t="s">
        <v>70</v>
      </c>
      <c r="C101" s="12">
        <v>51.5</v>
      </c>
      <c r="D101" s="12">
        <v>3.21875</v>
      </c>
      <c r="E101" s="12">
        <v>16</v>
      </c>
    </row>
    <row r="102" spans="1:5">
      <c r="A102" s="12">
        <v>11</v>
      </c>
      <c r="B102" s="12" t="s">
        <v>66</v>
      </c>
      <c r="C102" s="12">
        <v>47</v>
      </c>
      <c r="D102" s="12">
        <v>3.357143</v>
      </c>
      <c r="E102" s="12">
        <v>14</v>
      </c>
    </row>
    <row r="103" spans="1:5">
      <c r="A103" s="12">
        <v>12</v>
      </c>
      <c r="B103" s="12" t="s">
        <v>127</v>
      </c>
      <c r="C103" s="12">
        <v>9.5</v>
      </c>
      <c r="D103" s="12">
        <v>9.5</v>
      </c>
      <c r="E103" s="12">
        <v>1</v>
      </c>
    </row>
    <row r="104" spans="1:5">
      <c r="A104" s="12">
        <v>13</v>
      </c>
      <c r="B104" s="12" t="s">
        <v>69</v>
      </c>
      <c r="C104" s="12">
        <v>5.5</v>
      </c>
      <c r="D104" s="12">
        <v>0.34375</v>
      </c>
      <c r="E104" s="12">
        <v>16</v>
      </c>
    </row>
    <row r="105" spans="1:5">
      <c r="A105" s="12">
        <v>14</v>
      </c>
      <c r="B105" s="12" t="s">
        <v>128</v>
      </c>
      <c r="C105" s="12">
        <v>0</v>
      </c>
      <c r="D105" s="12">
        <v>0</v>
      </c>
      <c r="E105" s="12">
        <v>1</v>
      </c>
    </row>
    <row r="106" spans="1:5">
      <c r="A106" s="12">
        <v>15</v>
      </c>
      <c r="B106" s="12" t="s">
        <v>130</v>
      </c>
      <c r="C106" s="12">
        <v>-1</v>
      </c>
      <c r="D106" s="12">
        <v>-1</v>
      </c>
      <c r="E106" s="12">
        <v>1</v>
      </c>
    </row>
    <row r="107" spans="1:5">
      <c r="A107" s="12">
        <v>16</v>
      </c>
      <c r="B107" s="12" t="s">
        <v>129</v>
      </c>
      <c r="C107" s="12">
        <v>-10</v>
      </c>
      <c r="D107" s="12">
        <v>-1</v>
      </c>
      <c r="E107" s="12">
        <v>10</v>
      </c>
    </row>
    <row r="109" spans="1:5">
      <c r="A109" s="20" t="s">
        <v>416</v>
      </c>
    </row>
    <row r="110" spans="1:5">
      <c r="A110" s="12" t="s">
        <v>40</v>
      </c>
      <c r="B110" s="12" t="s">
        <v>57</v>
      </c>
      <c r="C110" s="12" t="s">
        <v>112</v>
      </c>
      <c r="D110" s="12" t="s">
        <v>115</v>
      </c>
      <c r="E110" s="12" t="s">
        <v>113</v>
      </c>
    </row>
    <row r="111" spans="1:5">
      <c r="A111" s="12">
        <v>1</v>
      </c>
      <c r="B111" s="12" t="s">
        <v>111</v>
      </c>
      <c r="C111" s="12">
        <v>82</v>
      </c>
      <c r="D111" s="12">
        <v>86</v>
      </c>
      <c r="E111" s="12">
        <v>0.43914</v>
      </c>
    </row>
    <row r="112" spans="1:5">
      <c r="A112" s="12">
        <v>2</v>
      </c>
      <c r="B112" s="12" t="s">
        <v>110</v>
      </c>
      <c r="C112" s="12">
        <v>54</v>
      </c>
      <c r="D112" s="12">
        <v>73</v>
      </c>
      <c r="E112" s="12">
        <v>0.372448</v>
      </c>
    </row>
    <row r="113" spans="1:5">
      <c r="A113" s="12">
        <v>3</v>
      </c>
      <c r="B113" s="12" t="s">
        <v>109</v>
      </c>
      <c r="C113" s="12">
        <v>4</v>
      </c>
      <c r="D113" s="12">
        <v>5</v>
      </c>
      <c r="E113" s="12">
        <v>0.45</v>
      </c>
    </row>
    <row r="115" spans="1:5">
      <c r="A115" s="20" t="s">
        <v>417</v>
      </c>
    </row>
    <row r="116" spans="1:5">
      <c r="A116" s="12" t="s">
        <v>40</v>
      </c>
      <c r="B116" s="12" t="s">
        <v>57</v>
      </c>
      <c r="C116" s="12" t="s">
        <v>164</v>
      </c>
      <c r="D116" s="12" t="s">
        <v>165</v>
      </c>
      <c r="E116" s="12" t="s">
        <v>141</v>
      </c>
    </row>
    <row r="117" spans="1:5">
      <c r="A117" s="12">
        <v>1</v>
      </c>
      <c r="B117" s="12" t="s">
        <v>109</v>
      </c>
      <c r="C117" s="12">
        <v>3</v>
      </c>
      <c r="D117" s="12">
        <v>1.5</v>
      </c>
      <c r="E117" s="12">
        <v>3</v>
      </c>
    </row>
    <row r="118" spans="1:5">
      <c r="A118" s="12">
        <v>2</v>
      </c>
      <c r="B118" s="12" t="s">
        <v>111</v>
      </c>
      <c r="C118" s="12">
        <v>-6</v>
      </c>
      <c r="D118" s="12">
        <v>-0.5</v>
      </c>
      <c r="E118" s="12">
        <v>16</v>
      </c>
    </row>
    <row r="119" spans="1:5">
      <c r="A119" s="12">
        <v>3</v>
      </c>
      <c r="B119" s="12" t="s">
        <v>110</v>
      </c>
      <c r="C119" s="12">
        <v>-47.9</v>
      </c>
      <c r="D119" s="12">
        <v>-5.322222</v>
      </c>
      <c r="E119" s="12">
        <v>14</v>
      </c>
    </row>
    <row r="121" spans="1:5">
      <c r="A121" s="20" t="s">
        <v>418</v>
      </c>
    </row>
    <row r="122" spans="1:5">
      <c r="A122" s="12" t="s">
        <v>40</v>
      </c>
      <c r="B122" s="12" t="s">
        <v>57</v>
      </c>
      <c r="C122" s="12" t="s">
        <v>133</v>
      </c>
      <c r="D122" s="12" t="s">
        <v>161</v>
      </c>
      <c r="E122" s="12" t="s">
        <v>141</v>
      </c>
    </row>
    <row r="123" spans="1:5">
      <c r="A123" s="12">
        <v>1</v>
      </c>
      <c r="B123" s="12" t="s">
        <v>59</v>
      </c>
      <c r="C123" s="12" t="s">
        <v>166</v>
      </c>
      <c r="D123" s="12">
        <v>21</v>
      </c>
      <c r="E123" s="12">
        <v>16</v>
      </c>
    </row>
    <row r="124" spans="1:5">
      <c r="A124" s="12">
        <v>2</v>
      </c>
      <c r="B124" s="12" t="s">
        <v>63</v>
      </c>
      <c r="C124" s="12" t="s">
        <v>166</v>
      </c>
      <c r="D124" s="12">
        <v>16</v>
      </c>
      <c r="E124" s="12">
        <v>14</v>
      </c>
    </row>
    <row r="125" spans="1:5">
      <c r="A125" s="12">
        <v>3</v>
      </c>
      <c r="B125" s="12" t="s">
        <v>61</v>
      </c>
      <c r="C125" s="12" t="s">
        <v>166</v>
      </c>
      <c r="D125" s="12">
        <v>15</v>
      </c>
      <c r="E125" s="12">
        <v>15</v>
      </c>
    </row>
    <row r="126" spans="1:5">
      <c r="A126" s="12">
        <v>4</v>
      </c>
      <c r="B126" s="12" t="s">
        <v>60</v>
      </c>
      <c r="C126" s="12" t="s">
        <v>166</v>
      </c>
      <c r="D126" s="12">
        <v>12</v>
      </c>
      <c r="E126" s="12">
        <v>16</v>
      </c>
    </row>
    <row r="127" spans="1:5">
      <c r="A127" s="12">
        <v>5</v>
      </c>
      <c r="B127" s="12" t="s">
        <v>64</v>
      </c>
      <c r="C127" s="12" t="s">
        <v>166</v>
      </c>
      <c r="D127" s="12">
        <v>9</v>
      </c>
      <c r="E127" s="12">
        <v>15</v>
      </c>
    </row>
    <row r="128" spans="1:5">
      <c r="A128" s="12">
        <v>6</v>
      </c>
      <c r="B128" s="12" t="s">
        <v>66</v>
      </c>
      <c r="C128" s="12" t="s">
        <v>166</v>
      </c>
      <c r="D128" s="12">
        <v>8</v>
      </c>
      <c r="E128" s="12">
        <v>14</v>
      </c>
    </row>
    <row r="129" spans="1:5">
      <c r="A129" s="12">
        <v>7</v>
      </c>
      <c r="B129" s="12" t="s">
        <v>69</v>
      </c>
      <c r="C129" s="12" t="s">
        <v>166</v>
      </c>
      <c r="D129" s="12">
        <v>7</v>
      </c>
      <c r="E129" s="12">
        <v>16</v>
      </c>
    </row>
    <row r="130" spans="1:5">
      <c r="A130" s="12">
        <v>8</v>
      </c>
      <c r="B130" s="12" t="s">
        <v>68</v>
      </c>
      <c r="C130" s="12" t="s">
        <v>166</v>
      </c>
      <c r="D130" s="12">
        <v>7</v>
      </c>
      <c r="E130" s="12">
        <v>16</v>
      </c>
    </row>
    <row r="131" spans="1:5">
      <c r="A131" s="12">
        <v>9</v>
      </c>
      <c r="B131" s="12" t="s">
        <v>70</v>
      </c>
      <c r="C131" s="12" t="s">
        <v>166</v>
      </c>
      <c r="D131" s="12">
        <v>6</v>
      </c>
      <c r="E131" s="12">
        <v>16</v>
      </c>
    </row>
    <row r="132" spans="1:5">
      <c r="A132" s="12">
        <v>10</v>
      </c>
      <c r="B132" s="12" t="s">
        <v>71</v>
      </c>
      <c r="C132" s="12" t="s">
        <v>166</v>
      </c>
      <c r="D132" s="12">
        <v>5</v>
      </c>
      <c r="E132" s="12">
        <v>13</v>
      </c>
    </row>
    <row r="133" spans="1:5">
      <c r="A133" s="12">
        <v>11</v>
      </c>
      <c r="B133" s="12" t="s">
        <v>62</v>
      </c>
      <c r="C133" s="12" t="s">
        <v>166</v>
      </c>
      <c r="D133" s="12">
        <v>5</v>
      </c>
      <c r="E133" s="12">
        <v>15</v>
      </c>
    </row>
    <row r="134" spans="1:5">
      <c r="A134" s="12">
        <v>12</v>
      </c>
      <c r="B134" s="12" t="s">
        <v>110</v>
      </c>
      <c r="C134" s="12" t="s">
        <v>180</v>
      </c>
      <c r="D134" s="12">
        <v>4.45</v>
      </c>
      <c r="E134" s="12">
        <v>14</v>
      </c>
    </row>
    <row r="135" spans="1:5">
      <c r="A135" s="12">
        <v>13</v>
      </c>
      <c r="B135" s="12" t="s">
        <v>65</v>
      </c>
      <c r="C135" s="12" t="s">
        <v>166</v>
      </c>
      <c r="D135" s="12">
        <v>3</v>
      </c>
      <c r="E135" s="12">
        <v>15</v>
      </c>
    </row>
    <row r="136" spans="1:5">
      <c r="A136" s="12">
        <v>14</v>
      </c>
      <c r="B136" s="12" t="s">
        <v>111</v>
      </c>
      <c r="C136" s="12" t="s">
        <v>180</v>
      </c>
      <c r="D136" s="12">
        <v>3</v>
      </c>
      <c r="E136" s="12">
        <v>16</v>
      </c>
    </row>
    <row r="137" spans="1:5">
      <c r="A137" s="12">
        <v>15</v>
      </c>
      <c r="B137" s="12" t="s">
        <v>129</v>
      </c>
      <c r="C137" s="12" t="s">
        <v>166</v>
      </c>
      <c r="D137" s="12">
        <v>2</v>
      </c>
      <c r="E137" s="12">
        <v>10</v>
      </c>
    </row>
    <row r="138" spans="1:5">
      <c r="A138" s="12">
        <v>16</v>
      </c>
      <c r="B138" s="12" t="s">
        <v>130</v>
      </c>
      <c r="C138" s="12" t="s">
        <v>166</v>
      </c>
      <c r="D138" s="12">
        <v>1</v>
      </c>
      <c r="E138" s="12">
        <v>1</v>
      </c>
    </row>
    <row r="139" spans="1:5">
      <c r="A139" s="12">
        <v>17</v>
      </c>
      <c r="B139" s="12" t="s">
        <v>127</v>
      </c>
      <c r="C139" s="12" t="s">
        <v>166</v>
      </c>
      <c r="D139" s="12">
        <v>0</v>
      </c>
      <c r="E139" s="12">
        <v>1</v>
      </c>
    </row>
    <row r="140" spans="1:5">
      <c r="A140" s="12">
        <v>18</v>
      </c>
      <c r="B140" s="12" t="s">
        <v>109</v>
      </c>
      <c r="C140" s="12" t="s">
        <v>180</v>
      </c>
      <c r="D140" s="12">
        <v>0</v>
      </c>
      <c r="E140" s="12">
        <v>3</v>
      </c>
    </row>
    <row r="141" spans="1:5">
      <c r="A141" s="12">
        <v>19</v>
      </c>
      <c r="B141" s="12" t="s">
        <v>128</v>
      </c>
      <c r="C141" s="12" t="s">
        <v>166</v>
      </c>
      <c r="D141" s="12">
        <v>0</v>
      </c>
      <c r="E141" s="12">
        <v>1</v>
      </c>
    </row>
    <row r="143" spans="1:5">
      <c r="A143" s="20" t="s">
        <v>419</v>
      </c>
    </row>
    <row r="144" spans="1:5">
      <c r="A144" s="12" t="s">
        <v>420</v>
      </c>
      <c r="B144" s="12" t="s">
        <v>421</v>
      </c>
      <c r="C144" s="12" t="s">
        <v>241</v>
      </c>
      <c r="D144" s="12" t="s">
        <v>422</v>
      </c>
      <c r="E144" s="12" t="s">
        <v>423</v>
      </c>
    </row>
    <row r="145" spans="1:5">
      <c r="A145" s="12" t="s">
        <v>424</v>
      </c>
      <c r="B145" s="12">
        <v>10</v>
      </c>
      <c r="C145" s="12" t="s">
        <v>30</v>
      </c>
      <c r="D145" s="12" t="s">
        <v>425</v>
      </c>
      <c r="E145" s="12" t="s">
        <v>359</v>
      </c>
    </row>
    <row r="146" spans="1:5">
      <c r="A146" s="12" t="s">
        <v>426</v>
      </c>
      <c r="B146" s="12">
        <v>6</v>
      </c>
      <c r="C146" s="12" t="s">
        <v>44</v>
      </c>
      <c r="D146" s="12" t="s">
        <v>427</v>
      </c>
      <c r="E146" s="12" t="s">
        <v>353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26.7109375" customWidth="1"/>
    <col min="2" max="2" width="40.7109375" customWidth="1"/>
    <col min="3" max="3" width="18.7109375" customWidth="1"/>
    <col min="4" max="4" width="12.7109375" customWidth="1"/>
    <col min="5" max="5" width="18.7109375" customWidth="1"/>
    <col min="6" max="6" width="16.7109375" customWidth="1"/>
    <col min="7" max="7" width="20.7109375" customWidth="1"/>
    <col min="8" max="8" width="19.7109375" customWidth="1"/>
    <col min="9" max="9" width="21.7109375" customWidth="1"/>
    <col min="10" max="10" width="20.7109375" customWidth="1"/>
    <col min="11" max="11" width="19.7109375" customWidth="1"/>
    <col min="12" max="12" width="20.7109375" customWidth="1"/>
    <col min="13" max="14" width="12.7109375" customWidth="1"/>
    <col min="15" max="16" width="16.7109375" customWidth="1"/>
  </cols>
  <sheetData>
    <row r="1" spans="1:16">
      <c r="A1" s="20" t="s">
        <v>428</v>
      </c>
    </row>
    <row r="2" spans="1:16">
      <c r="A2" s="12" t="s">
        <v>429</v>
      </c>
      <c r="B2" s="12" t="s">
        <v>75</v>
      </c>
      <c r="C2" s="12" t="s">
        <v>430</v>
      </c>
      <c r="D2" s="12" t="s">
        <v>431</v>
      </c>
      <c r="E2" s="12" t="s">
        <v>220</v>
      </c>
      <c r="F2" s="12" t="s">
        <v>432</v>
      </c>
      <c r="G2" s="12" t="s">
        <v>221</v>
      </c>
      <c r="H2" s="12" t="s">
        <v>433</v>
      </c>
      <c r="I2" s="12" t="s">
        <v>223</v>
      </c>
      <c r="J2" s="12" t="s">
        <v>224</v>
      </c>
      <c r="K2" s="12" t="s">
        <v>225</v>
      </c>
      <c r="L2" s="12" t="s">
        <v>434</v>
      </c>
      <c r="M2" s="12" t="s">
        <v>435</v>
      </c>
      <c r="N2" s="12" t="s">
        <v>436</v>
      </c>
      <c r="O2" s="12" t="s">
        <v>437</v>
      </c>
      <c r="P2" s="12" t="s">
        <v>105</v>
      </c>
    </row>
    <row r="3" spans="1:16">
      <c r="A3" s="12" t="s">
        <v>170</v>
      </c>
      <c r="B3" s="12">
        <v>5</v>
      </c>
      <c r="C3" s="12">
        <v>70</v>
      </c>
      <c r="D3" s="12">
        <v>30</v>
      </c>
      <c r="E3" s="12">
        <v>0.428571</v>
      </c>
      <c r="F3" s="12">
        <v>54</v>
      </c>
      <c r="G3" s="12">
        <v>0.771429</v>
      </c>
      <c r="H3" s="12">
        <v>103</v>
      </c>
      <c r="I3" s="12">
        <v>0.166882</v>
      </c>
      <c r="J3" s="12">
        <v>0.291262</v>
      </c>
      <c r="K3" s="12">
        <v>40</v>
      </c>
      <c r="L3" s="12">
        <v>297.5</v>
      </c>
      <c r="M3" s="12">
        <v>4.25</v>
      </c>
      <c r="N3" s="12">
        <v>9</v>
      </c>
      <c r="O3" s="12">
        <v>0</v>
      </c>
      <c r="P3" s="12">
        <v>0.2</v>
      </c>
    </row>
    <row r="4" spans="1:16">
      <c r="A4" s="12" t="s">
        <v>168</v>
      </c>
      <c r="B4" s="12">
        <v>3</v>
      </c>
      <c r="C4" s="12">
        <v>32</v>
      </c>
      <c r="D4" s="12">
        <v>19</v>
      </c>
      <c r="E4" s="12">
        <v>0.59375</v>
      </c>
      <c r="F4" s="12">
        <v>22</v>
      </c>
      <c r="G4" s="12">
        <v>0.6875</v>
      </c>
      <c r="H4" s="12">
        <v>66</v>
      </c>
      <c r="I4" s="12">
        <v>0.161565</v>
      </c>
      <c r="J4" s="12">
        <v>0.287879</v>
      </c>
      <c r="K4" s="12">
        <v>21</v>
      </c>
      <c r="L4" s="12">
        <v>116</v>
      </c>
      <c r="M4" s="12">
        <v>3.625</v>
      </c>
      <c r="N4" s="12">
        <v>10</v>
      </c>
      <c r="O4" s="12">
        <v>0</v>
      </c>
      <c r="P4" s="12">
        <v>0.125</v>
      </c>
    </row>
    <row r="5" spans="1:16">
      <c r="A5" s="12" t="s">
        <v>167</v>
      </c>
      <c r="B5" s="12">
        <v>5</v>
      </c>
      <c r="C5" s="12">
        <v>61</v>
      </c>
      <c r="D5" s="12">
        <v>120</v>
      </c>
      <c r="E5" s="12">
        <v>1.967213</v>
      </c>
      <c r="F5" s="12">
        <v>46</v>
      </c>
      <c r="G5" s="12">
        <v>0.754098</v>
      </c>
      <c r="H5" s="12">
        <v>263</v>
      </c>
      <c r="I5" s="12">
        <v>0.330345</v>
      </c>
      <c r="J5" s="12">
        <v>0.456274</v>
      </c>
      <c r="K5" s="12">
        <v>45</v>
      </c>
      <c r="L5" s="12">
        <v>699.5</v>
      </c>
      <c r="M5" s="12">
        <v>11.467213</v>
      </c>
      <c r="N5" s="12">
        <v>19</v>
      </c>
      <c r="O5" s="12">
        <v>0</v>
      </c>
      <c r="P5" s="12">
        <v>0.361111</v>
      </c>
    </row>
    <row r="6" spans="1:16">
      <c r="A6" s="12" t="s">
        <v>169</v>
      </c>
      <c r="B6" s="12">
        <v>3</v>
      </c>
      <c r="C6" s="12">
        <v>31</v>
      </c>
      <c r="D6" s="12">
        <v>42</v>
      </c>
      <c r="E6" s="12">
        <v>1.354839</v>
      </c>
      <c r="F6" s="12">
        <v>15</v>
      </c>
      <c r="G6" s="12">
        <v>0.483871</v>
      </c>
      <c r="H6" s="12">
        <v>87</v>
      </c>
      <c r="I6" s="12">
        <v>0.39127</v>
      </c>
      <c r="J6" s="12">
        <v>0.482759</v>
      </c>
      <c r="K6" s="12">
        <v>14</v>
      </c>
      <c r="L6" s="12">
        <v>369</v>
      </c>
      <c r="M6" s="12">
        <v>11.903226</v>
      </c>
      <c r="N6" s="12">
        <v>8</v>
      </c>
      <c r="O6" s="12">
        <v>0</v>
      </c>
      <c r="P6" s="12">
        <v>0.666667</v>
      </c>
    </row>
    <row r="7" spans="1:16">
      <c r="A7" s="12" t="s">
        <v>181</v>
      </c>
      <c r="B7" s="12">
        <v>3</v>
      </c>
      <c r="C7" s="12">
        <v>33</v>
      </c>
      <c r="D7" s="12">
        <v>0</v>
      </c>
      <c r="E7" s="12">
        <v>0</v>
      </c>
      <c r="F7" s="12">
        <v>12</v>
      </c>
      <c r="G7" s="12">
        <v>0.363636</v>
      </c>
      <c r="H7" s="12">
        <v>0</v>
      </c>
      <c r="I7" s="12"/>
      <c r="J7" s="12"/>
      <c r="K7" s="12">
        <v>2</v>
      </c>
      <c r="L7" s="12">
        <v>-50.9</v>
      </c>
      <c r="M7" s="12">
        <v>-1.542424</v>
      </c>
      <c r="N7" s="12">
        <v>140</v>
      </c>
      <c r="O7" s="12">
        <v>164</v>
      </c>
      <c r="P7" s="12">
        <v>0.420529</v>
      </c>
    </row>
    <row r="9" spans="1:16">
      <c r="A9" s="20" t="s">
        <v>438</v>
      </c>
    </row>
    <row r="10" spans="1:16">
      <c r="A10" s="12" t="s">
        <v>429</v>
      </c>
      <c r="B10" s="12" t="s">
        <v>75</v>
      </c>
      <c r="C10" s="12" t="s">
        <v>430</v>
      </c>
      <c r="D10" s="12" t="s">
        <v>431</v>
      </c>
      <c r="E10" s="12" t="s">
        <v>220</v>
      </c>
      <c r="F10" s="12" t="s">
        <v>432</v>
      </c>
      <c r="G10" s="12" t="s">
        <v>221</v>
      </c>
      <c r="H10" s="12" t="s">
        <v>433</v>
      </c>
      <c r="I10" s="12" t="s">
        <v>223</v>
      </c>
      <c r="J10" s="12" t="s">
        <v>224</v>
      </c>
      <c r="K10" s="12" t="s">
        <v>225</v>
      </c>
      <c r="L10" s="12" t="s">
        <v>434</v>
      </c>
      <c r="M10" s="12" t="s">
        <v>435</v>
      </c>
    </row>
    <row r="11" spans="1:16">
      <c r="A11" s="12" t="s">
        <v>85</v>
      </c>
      <c r="B11" s="12">
        <v>17</v>
      </c>
      <c r="C11" s="12">
        <v>196</v>
      </c>
      <c r="D11" s="12">
        <v>196</v>
      </c>
      <c r="E11" s="12">
        <v>1</v>
      </c>
      <c r="F11" s="12">
        <v>138</v>
      </c>
      <c r="G11" s="12">
        <v>0.704082</v>
      </c>
      <c r="H11" s="12">
        <v>479</v>
      </c>
      <c r="I11" s="12">
        <v>0.251422</v>
      </c>
      <c r="J11" s="12">
        <v>0.409186</v>
      </c>
      <c r="K11" s="12">
        <v>105</v>
      </c>
      <c r="L11" s="12">
        <v>1320.6</v>
      </c>
      <c r="M11" s="12">
        <v>6.737755</v>
      </c>
    </row>
    <row r="12" spans="1:16">
      <c r="A12" s="12" t="s">
        <v>86</v>
      </c>
      <c r="B12" s="12">
        <v>2</v>
      </c>
      <c r="C12" s="12">
        <v>31</v>
      </c>
      <c r="D12" s="12">
        <v>15</v>
      </c>
      <c r="E12" s="12">
        <v>0.483871</v>
      </c>
      <c r="F12" s="12">
        <v>11</v>
      </c>
      <c r="G12" s="12">
        <v>0.354839</v>
      </c>
      <c r="H12" s="12">
        <v>40</v>
      </c>
      <c r="I12" s="12">
        <v>0.373299</v>
      </c>
      <c r="J12" s="12">
        <v>0.375</v>
      </c>
      <c r="K12" s="12">
        <v>17</v>
      </c>
      <c r="L12" s="12">
        <v>110.5</v>
      </c>
      <c r="M12" s="12">
        <v>3.564516</v>
      </c>
    </row>
    <row r="14" spans="1:16">
      <c r="A14" s="20" t="s">
        <v>439</v>
      </c>
    </row>
    <row r="15" spans="1:16">
      <c r="A15" s="12" t="s">
        <v>429</v>
      </c>
      <c r="B15" s="12" t="s">
        <v>75</v>
      </c>
      <c r="C15" s="12" t="s">
        <v>430</v>
      </c>
      <c r="D15" s="12" t="s">
        <v>431</v>
      </c>
      <c r="E15" s="12" t="s">
        <v>220</v>
      </c>
      <c r="F15" s="12" t="s">
        <v>432</v>
      </c>
      <c r="G15" s="12" t="s">
        <v>221</v>
      </c>
      <c r="H15" s="12" t="s">
        <v>433</v>
      </c>
      <c r="I15" s="12" t="s">
        <v>223</v>
      </c>
      <c r="J15" s="12" t="s">
        <v>224</v>
      </c>
      <c r="K15" s="12" t="s">
        <v>225</v>
      </c>
      <c r="L15" s="12" t="s">
        <v>434</v>
      </c>
      <c r="M15" s="12" t="s">
        <v>435</v>
      </c>
    </row>
    <row r="16" spans="1:16">
      <c r="A16" s="12" t="s">
        <v>88</v>
      </c>
      <c r="B16" s="12">
        <v>4</v>
      </c>
      <c r="C16" s="12">
        <v>60</v>
      </c>
      <c r="D16" s="12">
        <v>90</v>
      </c>
      <c r="E16" s="12">
        <v>1.5</v>
      </c>
      <c r="F16" s="12">
        <v>54</v>
      </c>
      <c r="G16" s="12">
        <v>0.9</v>
      </c>
      <c r="H16" s="12">
        <v>215</v>
      </c>
      <c r="I16" s="12">
        <v>0.381467</v>
      </c>
      <c r="J16" s="12">
        <v>0.418605</v>
      </c>
      <c r="K16" s="12">
        <v>52</v>
      </c>
      <c r="L16" s="12">
        <v>693.5</v>
      </c>
      <c r="M16" s="12">
        <v>11.558333</v>
      </c>
    </row>
    <row r="17" spans="1:13">
      <c r="A17" s="12" t="s">
        <v>89</v>
      </c>
      <c r="B17" s="12">
        <v>15</v>
      </c>
      <c r="C17" s="12">
        <v>167</v>
      </c>
      <c r="D17" s="12">
        <v>121</v>
      </c>
      <c r="E17" s="12">
        <v>0.7245509999999999</v>
      </c>
      <c r="F17" s="12">
        <v>95</v>
      </c>
      <c r="G17" s="12">
        <v>0.568862</v>
      </c>
      <c r="H17" s="12">
        <v>304</v>
      </c>
      <c r="I17" s="12">
        <v>0.218231</v>
      </c>
      <c r="J17" s="12">
        <v>0.398026</v>
      </c>
      <c r="K17" s="12">
        <v>70</v>
      </c>
      <c r="L17" s="12">
        <v>737.6</v>
      </c>
      <c r="M17" s="12">
        <v>4.416766</v>
      </c>
    </row>
    <row r="19" spans="1:13">
      <c r="A19" s="20" t="s">
        <v>440</v>
      </c>
    </row>
    <row r="20" spans="1:13">
      <c r="A20" s="12" t="s">
        <v>40</v>
      </c>
      <c r="B20" s="12" t="s">
        <v>57</v>
      </c>
      <c r="C20" s="12" t="s">
        <v>135</v>
      </c>
      <c r="D20" s="12" t="s">
        <v>58</v>
      </c>
      <c r="E20" s="12" t="s">
        <v>142</v>
      </c>
      <c r="F20" s="12" t="s">
        <v>67</v>
      </c>
      <c r="G20" s="12" t="s">
        <v>143</v>
      </c>
      <c r="H20" s="12" t="s">
        <v>90</v>
      </c>
      <c r="I20" s="12" t="s">
        <v>91</v>
      </c>
      <c r="J20" s="12" t="s">
        <v>164</v>
      </c>
      <c r="K20" s="12" t="s">
        <v>165</v>
      </c>
      <c r="L20" s="12" t="s">
        <v>141</v>
      </c>
    </row>
    <row r="21" spans="1:13">
      <c r="A21" s="12">
        <v>1</v>
      </c>
      <c r="B21" s="12" t="s">
        <v>65</v>
      </c>
      <c r="C21" s="12" t="s">
        <v>86</v>
      </c>
      <c r="D21" s="12">
        <v>15</v>
      </c>
      <c r="E21" s="12">
        <v>1</v>
      </c>
      <c r="F21" s="12">
        <v>7</v>
      </c>
      <c r="G21" s="12">
        <v>0.466667</v>
      </c>
      <c r="H21" s="12">
        <v>0.373299</v>
      </c>
      <c r="I21" s="12">
        <v>0.375</v>
      </c>
      <c r="J21" s="12">
        <v>116.5</v>
      </c>
      <c r="K21" s="12">
        <v>7.766667</v>
      </c>
      <c r="L21" s="12">
        <v>15</v>
      </c>
    </row>
    <row r="22" spans="1:13">
      <c r="A22" s="12">
        <v>2</v>
      </c>
      <c r="B22" s="12" t="s">
        <v>71</v>
      </c>
      <c r="C22" s="12" t="s">
        <v>85</v>
      </c>
      <c r="D22" s="12">
        <v>10</v>
      </c>
      <c r="E22" s="12">
        <v>0.769231</v>
      </c>
      <c r="F22" s="12">
        <v>12</v>
      </c>
      <c r="G22" s="12">
        <v>0.923077</v>
      </c>
      <c r="H22" s="12">
        <v>0.333333</v>
      </c>
      <c r="I22" s="12">
        <v>0.384615</v>
      </c>
      <c r="J22" s="12">
        <v>83.5</v>
      </c>
      <c r="K22" s="12">
        <v>6.423077</v>
      </c>
      <c r="L22" s="12">
        <v>13</v>
      </c>
    </row>
    <row r="23" spans="1:13">
      <c r="A23" s="12">
        <v>3</v>
      </c>
      <c r="B23" s="12" t="s">
        <v>68</v>
      </c>
      <c r="C23" s="12" t="s">
        <v>85</v>
      </c>
      <c r="D23" s="12">
        <v>4</v>
      </c>
      <c r="E23" s="12">
        <v>0.25</v>
      </c>
      <c r="F23" s="12">
        <v>20</v>
      </c>
      <c r="G23" s="12">
        <v>1.25</v>
      </c>
      <c r="H23" s="12">
        <v>0.094444</v>
      </c>
      <c r="I23" s="12">
        <v>0.2</v>
      </c>
      <c r="J23" s="12">
        <v>56</v>
      </c>
      <c r="K23" s="12">
        <v>3.5</v>
      </c>
      <c r="L23" s="12">
        <v>16</v>
      </c>
    </row>
    <row r="24" spans="1:13">
      <c r="A24" s="12">
        <v>4</v>
      </c>
      <c r="B24" s="12" t="s">
        <v>70</v>
      </c>
      <c r="C24" s="12" t="s">
        <v>85</v>
      </c>
      <c r="D24" s="12">
        <v>1</v>
      </c>
      <c r="E24" s="12">
        <v>0.0625</v>
      </c>
      <c r="F24" s="12">
        <v>14</v>
      </c>
      <c r="G24" s="12">
        <v>0.875</v>
      </c>
      <c r="H24" s="12">
        <v>0.033333</v>
      </c>
      <c r="I24" s="12">
        <v>0.07142900000000001</v>
      </c>
      <c r="J24" s="12">
        <v>51.5</v>
      </c>
      <c r="K24" s="12">
        <v>3.21875</v>
      </c>
      <c r="L24" s="12">
        <v>16</v>
      </c>
    </row>
    <row r="25" spans="1:13">
      <c r="A25" s="12">
        <v>5</v>
      </c>
      <c r="B25" s="12" t="s">
        <v>129</v>
      </c>
      <c r="C25" s="12" t="s">
        <v>85</v>
      </c>
      <c r="D25" s="12">
        <v>0</v>
      </c>
      <c r="E25" s="12">
        <v>0</v>
      </c>
      <c r="F25" s="12">
        <v>1</v>
      </c>
      <c r="G25" s="12">
        <v>0.1</v>
      </c>
      <c r="H25" s="12">
        <v>0</v>
      </c>
      <c r="I25" s="12">
        <v>0</v>
      </c>
      <c r="J25" s="12">
        <v>-10</v>
      </c>
      <c r="K25" s="12">
        <v>-1</v>
      </c>
      <c r="L25" s="12">
        <v>10</v>
      </c>
    </row>
    <row r="27" spans="1:13">
      <c r="A27" s="20" t="s">
        <v>441</v>
      </c>
    </row>
    <row r="28" spans="1:13">
      <c r="A28" s="12" t="s">
        <v>40</v>
      </c>
      <c r="B28" s="12" t="s">
        <v>57</v>
      </c>
      <c r="C28" s="12" t="s">
        <v>135</v>
      </c>
      <c r="D28" s="12" t="s">
        <v>58</v>
      </c>
      <c r="E28" s="12" t="s">
        <v>142</v>
      </c>
      <c r="F28" s="12" t="s">
        <v>67</v>
      </c>
      <c r="G28" s="12" t="s">
        <v>143</v>
      </c>
      <c r="H28" s="12" t="s">
        <v>90</v>
      </c>
      <c r="I28" s="12" t="s">
        <v>91</v>
      </c>
      <c r="J28" s="12" t="s">
        <v>164</v>
      </c>
      <c r="K28" s="12" t="s">
        <v>165</v>
      </c>
      <c r="L28" s="12" t="s">
        <v>141</v>
      </c>
    </row>
    <row r="29" spans="1:13">
      <c r="A29" s="12">
        <v>1</v>
      </c>
      <c r="B29" s="12" t="s">
        <v>64</v>
      </c>
      <c r="C29" s="12" t="s">
        <v>85</v>
      </c>
      <c r="D29" s="12">
        <v>16</v>
      </c>
      <c r="E29" s="12">
        <v>1.066667</v>
      </c>
      <c r="F29" s="12">
        <v>7</v>
      </c>
      <c r="G29" s="12">
        <v>0.466667</v>
      </c>
      <c r="H29" s="12">
        <v>0.351361</v>
      </c>
      <c r="I29" s="12">
        <v>0.347826</v>
      </c>
      <c r="J29" s="12">
        <v>111.5</v>
      </c>
      <c r="K29" s="12">
        <v>7.433333</v>
      </c>
      <c r="L29" s="12">
        <v>15</v>
      </c>
    </row>
    <row r="30" spans="1:13">
      <c r="A30" s="12">
        <v>2</v>
      </c>
      <c r="B30" s="12" t="s">
        <v>69</v>
      </c>
      <c r="C30" s="12" t="s">
        <v>85</v>
      </c>
      <c r="D30" s="12">
        <v>3</v>
      </c>
      <c r="E30" s="12">
        <v>0.1875</v>
      </c>
      <c r="F30" s="12">
        <v>14</v>
      </c>
      <c r="G30" s="12">
        <v>0.875</v>
      </c>
      <c r="H30" s="12">
        <v>0.133333</v>
      </c>
      <c r="I30" s="12">
        <v>0.15</v>
      </c>
      <c r="J30" s="12">
        <v>5.5</v>
      </c>
      <c r="K30" s="12">
        <v>0.34375</v>
      </c>
      <c r="L30" s="12">
        <v>16</v>
      </c>
    </row>
    <row r="31" spans="1:13">
      <c r="A31" s="12">
        <v>3</v>
      </c>
      <c r="B31" s="12" t="s">
        <v>130</v>
      </c>
      <c r="C31" s="12" t="s">
        <v>85</v>
      </c>
      <c r="D31" s="12">
        <v>0</v>
      </c>
      <c r="E31" s="12">
        <v>0</v>
      </c>
      <c r="F31" s="12">
        <v>1</v>
      </c>
      <c r="G31" s="12">
        <v>1</v>
      </c>
      <c r="H31" s="12">
        <v>0</v>
      </c>
      <c r="I31" s="12"/>
      <c r="J31" s="12">
        <v>-1</v>
      </c>
      <c r="K31" s="12">
        <v>-1</v>
      </c>
      <c r="L31" s="12">
        <v>1</v>
      </c>
    </row>
    <row r="33" spans="1:12">
      <c r="A33" s="20" t="s">
        <v>442</v>
      </c>
    </row>
    <row r="34" spans="1:12">
      <c r="A34" s="12" t="s">
        <v>40</v>
      </c>
      <c r="B34" s="12" t="s">
        <v>57</v>
      </c>
      <c r="C34" s="12" t="s">
        <v>135</v>
      </c>
      <c r="D34" s="12" t="s">
        <v>58</v>
      </c>
      <c r="E34" s="12" t="s">
        <v>142</v>
      </c>
      <c r="F34" s="12" t="s">
        <v>67</v>
      </c>
      <c r="G34" s="12" t="s">
        <v>143</v>
      </c>
      <c r="H34" s="12" t="s">
        <v>90</v>
      </c>
      <c r="I34" s="12" t="s">
        <v>91</v>
      </c>
      <c r="J34" s="12" t="s">
        <v>164</v>
      </c>
      <c r="K34" s="12" t="s">
        <v>165</v>
      </c>
      <c r="L34" s="12" t="s">
        <v>141</v>
      </c>
    </row>
    <row r="35" spans="1:12">
      <c r="A35" s="12">
        <v>1</v>
      </c>
      <c r="B35" s="12" t="s">
        <v>60</v>
      </c>
      <c r="C35" s="12" t="s">
        <v>85</v>
      </c>
      <c r="D35" s="12">
        <v>36</v>
      </c>
      <c r="E35" s="12">
        <v>2.25</v>
      </c>
      <c r="F35" s="12">
        <v>19</v>
      </c>
      <c r="G35" s="12">
        <v>1.1875</v>
      </c>
      <c r="H35" s="12">
        <v>0.401337</v>
      </c>
      <c r="I35" s="12">
        <v>0.423529</v>
      </c>
      <c r="J35" s="12">
        <v>270</v>
      </c>
      <c r="K35" s="12">
        <v>16.875</v>
      </c>
      <c r="L35" s="12">
        <v>16</v>
      </c>
    </row>
    <row r="36" spans="1:12">
      <c r="A36" s="12">
        <v>2</v>
      </c>
      <c r="B36" s="12" t="s">
        <v>59</v>
      </c>
      <c r="C36" s="12" t="s">
        <v>85</v>
      </c>
      <c r="D36" s="12">
        <v>57</v>
      </c>
      <c r="E36" s="12">
        <v>3.5625</v>
      </c>
      <c r="F36" s="12">
        <v>6</v>
      </c>
      <c r="G36" s="12">
        <v>0.375</v>
      </c>
      <c r="H36" s="12">
        <v>0.500387</v>
      </c>
      <c r="I36" s="12">
        <v>0.483051</v>
      </c>
      <c r="J36" s="12">
        <v>265.5</v>
      </c>
      <c r="K36" s="12">
        <v>16.59375</v>
      </c>
      <c r="L36" s="12">
        <v>16</v>
      </c>
    </row>
    <row r="37" spans="1:12">
      <c r="A37" s="12">
        <v>3</v>
      </c>
      <c r="B37" s="12" t="s">
        <v>63</v>
      </c>
      <c r="C37" s="12" t="s">
        <v>85</v>
      </c>
      <c r="D37" s="12">
        <v>16</v>
      </c>
      <c r="E37" s="12">
        <v>1.142857</v>
      </c>
      <c r="F37" s="12">
        <v>17</v>
      </c>
      <c r="G37" s="12">
        <v>1.214286</v>
      </c>
      <c r="H37" s="12">
        <v>0.391026</v>
      </c>
      <c r="I37" s="12">
        <v>0.484848</v>
      </c>
      <c r="J37" s="12">
        <v>117</v>
      </c>
      <c r="K37" s="12">
        <v>8.357143000000001</v>
      </c>
      <c r="L37" s="12">
        <v>14</v>
      </c>
    </row>
    <row r="38" spans="1:12">
      <c r="A38" s="12">
        <v>4</v>
      </c>
      <c r="B38" s="12" t="s">
        <v>66</v>
      </c>
      <c r="C38" s="12" t="s">
        <v>85</v>
      </c>
      <c r="D38" s="12">
        <v>11</v>
      </c>
      <c r="E38" s="12">
        <v>0.785714</v>
      </c>
      <c r="F38" s="12">
        <v>4</v>
      </c>
      <c r="G38" s="12">
        <v>0.285714</v>
      </c>
      <c r="H38" s="12">
        <v>0.358974</v>
      </c>
      <c r="I38" s="12">
        <v>0.407407</v>
      </c>
      <c r="J38" s="12">
        <v>47</v>
      </c>
      <c r="K38" s="12">
        <v>3.357143</v>
      </c>
      <c r="L38" s="12">
        <v>14</v>
      </c>
    </row>
    <row r="39" spans="1:12">
      <c r="A39" s="12">
        <v>5</v>
      </c>
      <c r="B39" s="12" t="s">
        <v>128</v>
      </c>
      <c r="C39" s="12" t="s">
        <v>85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/>
      <c r="J39" s="12">
        <v>0</v>
      </c>
      <c r="K39" s="12">
        <v>0</v>
      </c>
      <c r="L39" s="12">
        <v>1</v>
      </c>
    </row>
    <row r="41" spans="1:12">
      <c r="A41" s="20" t="s">
        <v>443</v>
      </c>
    </row>
    <row r="42" spans="1:12">
      <c r="A42" s="12" t="s">
        <v>40</v>
      </c>
      <c r="B42" s="12" t="s">
        <v>57</v>
      </c>
      <c r="C42" s="12" t="s">
        <v>135</v>
      </c>
      <c r="D42" s="12" t="s">
        <v>58</v>
      </c>
      <c r="E42" s="12" t="s">
        <v>142</v>
      </c>
      <c r="F42" s="12" t="s">
        <v>67</v>
      </c>
      <c r="G42" s="12" t="s">
        <v>143</v>
      </c>
      <c r="H42" s="12" t="s">
        <v>90</v>
      </c>
      <c r="I42" s="12" t="s">
        <v>91</v>
      </c>
      <c r="J42" s="12" t="s">
        <v>164</v>
      </c>
      <c r="K42" s="12" t="s">
        <v>165</v>
      </c>
      <c r="L42" s="12" t="s">
        <v>141</v>
      </c>
    </row>
    <row r="43" spans="1:12">
      <c r="A43" s="12">
        <v>1</v>
      </c>
      <c r="B43" s="12" t="s">
        <v>61</v>
      </c>
      <c r="C43" s="12" t="s">
        <v>85</v>
      </c>
      <c r="D43" s="12">
        <v>22</v>
      </c>
      <c r="E43" s="12">
        <v>1.466667</v>
      </c>
      <c r="F43" s="12">
        <v>11</v>
      </c>
      <c r="G43" s="12">
        <v>0.733333</v>
      </c>
      <c r="H43" s="12">
        <v>0.382143</v>
      </c>
      <c r="I43" s="12">
        <v>0.431373</v>
      </c>
      <c r="J43" s="12">
        <v>195</v>
      </c>
      <c r="K43" s="12">
        <v>13</v>
      </c>
      <c r="L43" s="12">
        <v>15</v>
      </c>
    </row>
    <row r="44" spans="1:12">
      <c r="A44" s="12">
        <v>2</v>
      </c>
      <c r="B44" s="12" t="s">
        <v>62</v>
      </c>
      <c r="C44" s="12" t="s">
        <v>85</v>
      </c>
      <c r="D44" s="12">
        <v>19</v>
      </c>
      <c r="E44" s="12">
        <v>1.266667</v>
      </c>
      <c r="F44" s="12">
        <v>4</v>
      </c>
      <c r="G44" s="12">
        <v>0.266667</v>
      </c>
      <c r="H44" s="12">
        <v>0.458333</v>
      </c>
      <c r="I44" s="12">
        <v>0.575758</v>
      </c>
      <c r="J44" s="12">
        <v>164.5</v>
      </c>
      <c r="K44" s="12">
        <v>10.966667</v>
      </c>
      <c r="L44" s="12">
        <v>15</v>
      </c>
    </row>
    <row r="45" spans="1:12">
      <c r="A45" s="12">
        <v>3</v>
      </c>
      <c r="B45" s="12" t="s">
        <v>127</v>
      </c>
      <c r="C45" s="12" t="s">
        <v>85</v>
      </c>
      <c r="D45" s="12">
        <v>1</v>
      </c>
      <c r="E45" s="12">
        <v>1</v>
      </c>
      <c r="F45" s="12">
        <v>0</v>
      </c>
      <c r="G45" s="12">
        <v>0</v>
      </c>
      <c r="H45" s="12">
        <v>0.333333</v>
      </c>
      <c r="I45" s="12">
        <v>0.333333</v>
      </c>
      <c r="J45" s="12">
        <v>9.5</v>
      </c>
      <c r="K45" s="12">
        <v>9.5</v>
      </c>
      <c r="L45" s="12">
        <v>1</v>
      </c>
    </row>
    <row r="47" spans="1:12">
      <c r="A47" s="20" t="s">
        <v>444</v>
      </c>
    </row>
    <row r="48" spans="1:12">
      <c r="A48" s="12" t="s">
        <v>40</v>
      </c>
      <c r="B48" s="12" t="s">
        <v>57</v>
      </c>
      <c r="C48" s="12" t="s">
        <v>135</v>
      </c>
      <c r="D48" s="12" t="s">
        <v>112</v>
      </c>
      <c r="E48" s="12" t="s">
        <v>113</v>
      </c>
      <c r="F48" s="12" t="s">
        <v>115</v>
      </c>
      <c r="G48" s="12" t="s">
        <v>164</v>
      </c>
      <c r="H48" s="12" t="s">
        <v>165</v>
      </c>
      <c r="I48" s="12" t="s">
        <v>141</v>
      </c>
    </row>
    <row r="49" spans="1:12">
      <c r="A49" s="12">
        <v>1</v>
      </c>
      <c r="B49" s="12" t="s">
        <v>109</v>
      </c>
      <c r="C49" s="12" t="s">
        <v>85</v>
      </c>
      <c r="D49" s="12">
        <v>4</v>
      </c>
      <c r="E49" s="12">
        <v>0.45</v>
      </c>
      <c r="F49" s="12">
        <v>5</v>
      </c>
      <c r="G49" s="12">
        <v>3</v>
      </c>
      <c r="H49" s="12">
        <v>1.5</v>
      </c>
      <c r="I49" s="12">
        <v>3</v>
      </c>
    </row>
    <row r="50" spans="1:12">
      <c r="A50" s="12">
        <v>2</v>
      </c>
      <c r="B50" s="12" t="s">
        <v>111</v>
      </c>
      <c r="C50" s="12" t="s">
        <v>86</v>
      </c>
      <c r="D50" s="12">
        <v>82</v>
      </c>
      <c r="E50" s="12">
        <v>0.43914</v>
      </c>
      <c r="F50" s="12">
        <v>86</v>
      </c>
      <c r="G50" s="12">
        <v>-6</v>
      </c>
      <c r="H50" s="12">
        <v>-0.5</v>
      </c>
      <c r="I50" s="12">
        <v>16</v>
      </c>
    </row>
    <row r="51" spans="1:12">
      <c r="A51" s="12">
        <v>3</v>
      </c>
      <c r="B51" s="12" t="s">
        <v>110</v>
      </c>
      <c r="C51" s="12" t="s">
        <v>85</v>
      </c>
      <c r="D51" s="12">
        <v>54</v>
      </c>
      <c r="E51" s="12">
        <v>0.372448</v>
      </c>
      <c r="F51" s="12">
        <v>73</v>
      </c>
      <c r="G51" s="12">
        <v>-47.9</v>
      </c>
      <c r="H51" s="12">
        <v>-5.322222</v>
      </c>
      <c r="I51" s="12">
        <v>14</v>
      </c>
    </row>
    <row r="53" spans="1:12">
      <c r="A53" s="20" t="s">
        <v>445</v>
      </c>
    </row>
    <row r="54" spans="1:12">
      <c r="A54" s="12" t="s">
        <v>40</v>
      </c>
      <c r="B54" s="12" t="s">
        <v>57</v>
      </c>
      <c r="C54" s="12" t="s">
        <v>135</v>
      </c>
      <c r="D54" s="12" t="s">
        <v>58</v>
      </c>
      <c r="E54" s="12" t="s">
        <v>142</v>
      </c>
      <c r="F54" s="12" t="s">
        <v>67</v>
      </c>
      <c r="G54" s="12" t="s">
        <v>143</v>
      </c>
      <c r="H54" s="12" t="s">
        <v>90</v>
      </c>
      <c r="I54" s="12" t="s">
        <v>91</v>
      </c>
      <c r="J54" s="12" t="s">
        <v>164</v>
      </c>
      <c r="K54" s="12" t="s">
        <v>165</v>
      </c>
      <c r="L54" s="12" t="s">
        <v>141</v>
      </c>
    </row>
    <row r="55" spans="1:12">
      <c r="A55" s="12">
        <v>1</v>
      </c>
      <c r="B55" s="12" t="s">
        <v>60</v>
      </c>
      <c r="C55" s="12" t="s">
        <v>85</v>
      </c>
      <c r="D55" s="12">
        <v>36</v>
      </c>
      <c r="E55" s="12">
        <v>2.25</v>
      </c>
      <c r="F55" s="12">
        <v>19</v>
      </c>
      <c r="G55" s="12">
        <v>1.1875</v>
      </c>
      <c r="H55" s="12">
        <v>0.401337</v>
      </c>
      <c r="I55" s="12">
        <v>0.423529</v>
      </c>
      <c r="J55" s="12">
        <v>270</v>
      </c>
      <c r="K55" s="12">
        <v>16.875</v>
      </c>
      <c r="L55" s="12">
        <v>16</v>
      </c>
    </row>
    <row r="56" spans="1:12">
      <c r="A56" s="12">
        <v>2</v>
      </c>
      <c r="B56" s="12" t="s">
        <v>59</v>
      </c>
      <c r="C56" s="12" t="s">
        <v>85</v>
      </c>
      <c r="D56" s="12">
        <v>57</v>
      </c>
      <c r="E56" s="12">
        <v>3.5625</v>
      </c>
      <c r="F56" s="12">
        <v>6</v>
      </c>
      <c r="G56" s="12">
        <v>0.375</v>
      </c>
      <c r="H56" s="12">
        <v>0.500387</v>
      </c>
      <c r="I56" s="12">
        <v>0.483051</v>
      </c>
      <c r="J56" s="12">
        <v>265.5</v>
      </c>
      <c r="K56" s="12">
        <v>16.59375</v>
      </c>
      <c r="L56" s="12">
        <v>16</v>
      </c>
    </row>
    <row r="57" spans="1:12">
      <c r="A57" s="12">
        <v>3</v>
      </c>
      <c r="B57" s="12" t="s">
        <v>61</v>
      </c>
      <c r="C57" s="12" t="s">
        <v>85</v>
      </c>
      <c r="D57" s="12">
        <v>22</v>
      </c>
      <c r="E57" s="12">
        <v>1.466667</v>
      </c>
      <c r="F57" s="12">
        <v>11</v>
      </c>
      <c r="G57" s="12">
        <v>0.733333</v>
      </c>
      <c r="H57" s="12">
        <v>0.382143</v>
      </c>
      <c r="I57" s="12">
        <v>0.431373</v>
      </c>
      <c r="J57" s="12">
        <v>195</v>
      </c>
      <c r="K57" s="12">
        <v>13</v>
      </c>
      <c r="L57" s="12">
        <v>15</v>
      </c>
    </row>
    <row r="58" spans="1:12">
      <c r="A58" s="12">
        <v>4</v>
      </c>
      <c r="B58" s="12" t="s">
        <v>62</v>
      </c>
      <c r="C58" s="12" t="s">
        <v>85</v>
      </c>
      <c r="D58" s="12">
        <v>19</v>
      </c>
      <c r="E58" s="12">
        <v>1.266667</v>
      </c>
      <c r="F58" s="12">
        <v>4</v>
      </c>
      <c r="G58" s="12">
        <v>0.266667</v>
      </c>
      <c r="H58" s="12">
        <v>0.458333</v>
      </c>
      <c r="I58" s="12">
        <v>0.575758</v>
      </c>
      <c r="J58" s="12">
        <v>164.5</v>
      </c>
      <c r="K58" s="12">
        <v>10.966667</v>
      </c>
      <c r="L58" s="12">
        <v>15</v>
      </c>
    </row>
    <row r="59" spans="1:12">
      <c r="A59" s="12">
        <v>5</v>
      </c>
      <c r="B59" s="12" t="s">
        <v>63</v>
      </c>
      <c r="C59" s="12" t="s">
        <v>85</v>
      </c>
      <c r="D59" s="12">
        <v>16</v>
      </c>
      <c r="E59" s="12">
        <v>1.142857</v>
      </c>
      <c r="F59" s="12">
        <v>17</v>
      </c>
      <c r="G59" s="12">
        <v>1.214286</v>
      </c>
      <c r="H59" s="12">
        <v>0.391026</v>
      </c>
      <c r="I59" s="12">
        <v>0.484848</v>
      </c>
      <c r="J59" s="12">
        <v>117</v>
      </c>
      <c r="K59" s="12">
        <v>8.357143000000001</v>
      </c>
      <c r="L59" s="12">
        <v>14</v>
      </c>
    </row>
    <row r="60" spans="1:12">
      <c r="A60" s="12">
        <v>6</v>
      </c>
      <c r="B60" s="12" t="s">
        <v>64</v>
      </c>
      <c r="C60" s="12" t="s">
        <v>85</v>
      </c>
      <c r="D60" s="12">
        <v>16</v>
      </c>
      <c r="E60" s="12">
        <v>1.066667</v>
      </c>
      <c r="F60" s="12">
        <v>7</v>
      </c>
      <c r="G60" s="12">
        <v>0.466667</v>
      </c>
      <c r="H60" s="12">
        <v>0.351361</v>
      </c>
      <c r="I60" s="12">
        <v>0.347826</v>
      </c>
      <c r="J60" s="12">
        <v>111.5</v>
      </c>
      <c r="K60" s="12">
        <v>7.433333</v>
      </c>
      <c r="L60" s="12">
        <v>15</v>
      </c>
    </row>
    <row r="61" spans="1:12">
      <c r="A61" s="12">
        <v>7</v>
      </c>
      <c r="B61" s="12" t="s">
        <v>71</v>
      </c>
      <c r="C61" s="12" t="s">
        <v>85</v>
      </c>
      <c r="D61" s="12">
        <v>10</v>
      </c>
      <c r="E61" s="12">
        <v>0.769231</v>
      </c>
      <c r="F61" s="12">
        <v>12</v>
      </c>
      <c r="G61" s="12">
        <v>0.923077</v>
      </c>
      <c r="H61" s="12">
        <v>0.333333</v>
      </c>
      <c r="I61" s="12">
        <v>0.384615</v>
      </c>
      <c r="J61" s="12">
        <v>83.5</v>
      </c>
      <c r="K61" s="12">
        <v>6.423077</v>
      </c>
      <c r="L61" s="12">
        <v>13</v>
      </c>
    </row>
    <row r="62" spans="1:12">
      <c r="A62" s="12">
        <v>8</v>
      </c>
      <c r="B62" s="12" t="s">
        <v>68</v>
      </c>
      <c r="C62" s="12" t="s">
        <v>85</v>
      </c>
      <c r="D62" s="12">
        <v>4</v>
      </c>
      <c r="E62" s="12">
        <v>0.25</v>
      </c>
      <c r="F62" s="12">
        <v>20</v>
      </c>
      <c r="G62" s="12">
        <v>1.25</v>
      </c>
      <c r="H62" s="12">
        <v>0.094444</v>
      </c>
      <c r="I62" s="12">
        <v>0.2</v>
      </c>
      <c r="J62" s="12">
        <v>56</v>
      </c>
      <c r="K62" s="12">
        <v>3.5</v>
      </c>
      <c r="L62" s="12">
        <v>16</v>
      </c>
    </row>
    <row r="63" spans="1:12">
      <c r="A63" s="12">
        <v>9</v>
      </c>
      <c r="B63" s="12" t="s">
        <v>70</v>
      </c>
      <c r="C63" s="12" t="s">
        <v>85</v>
      </c>
      <c r="D63" s="12">
        <v>1</v>
      </c>
      <c r="E63" s="12">
        <v>0.0625</v>
      </c>
      <c r="F63" s="12">
        <v>14</v>
      </c>
      <c r="G63" s="12">
        <v>0.875</v>
      </c>
      <c r="H63" s="12">
        <v>0.033333</v>
      </c>
      <c r="I63" s="12">
        <v>0.07142900000000001</v>
      </c>
      <c r="J63" s="12">
        <v>51.5</v>
      </c>
      <c r="K63" s="12">
        <v>3.21875</v>
      </c>
      <c r="L63" s="12">
        <v>16</v>
      </c>
    </row>
    <row r="64" spans="1:12">
      <c r="A64" s="12">
        <v>10</v>
      </c>
      <c r="B64" s="12" t="s">
        <v>66</v>
      </c>
      <c r="C64" s="12" t="s">
        <v>85</v>
      </c>
      <c r="D64" s="12">
        <v>11</v>
      </c>
      <c r="E64" s="12">
        <v>0.785714</v>
      </c>
      <c r="F64" s="12">
        <v>4</v>
      </c>
      <c r="G64" s="12">
        <v>0.285714</v>
      </c>
      <c r="H64" s="12">
        <v>0.358974</v>
      </c>
      <c r="I64" s="12">
        <v>0.407407</v>
      </c>
      <c r="J64" s="12">
        <v>47</v>
      </c>
      <c r="K64" s="12">
        <v>3.357143</v>
      </c>
      <c r="L64" s="12">
        <v>14</v>
      </c>
    </row>
    <row r="65" spans="1:12">
      <c r="A65" s="12">
        <v>11</v>
      </c>
      <c r="B65" s="12" t="s">
        <v>127</v>
      </c>
      <c r="C65" s="12" t="s">
        <v>85</v>
      </c>
      <c r="D65" s="12">
        <v>1</v>
      </c>
      <c r="E65" s="12">
        <v>1</v>
      </c>
      <c r="F65" s="12">
        <v>0</v>
      </c>
      <c r="G65" s="12">
        <v>0</v>
      </c>
      <c r="H65" s="12">
        <v>0.333333</v>
      </c>
      <c r="I65" s="12">
        <v>0.333333</v>
      </c>
      <c r="J65" s="12">
        <v>9.5</v>
      </c>
      <c r="K65" s="12">
        <v>9.5</v>
      </c>
      <c r="L65" s="12">
        <v>1</v>
      </c>
    </row>
    <row r="66" spans="1:12">
      <c r="A66" s="12">
        <v>12</v>
      </c>
      <c r="B66" s="12" t="s">
        <v>69</v>
      </c>
      <c r="C66" s="12" t="s">
        <v>85</v>
      </c>
      <c r="D66" s="12">
        <v>3</v>
      </c>
      <c r="E66" s="12">
        <v>0.1875</v>
      </c>
      <c r="F66" s="12">
        <v>14</v>
      </c>
      <c r="G66" s="12">
        <v>0.875</v>
      </c>
      <c r="H66" s="12">
        <v>0.133333</v>
      </c>
      <c r="I66" s="12">
        <v>0.15</v>
      </c>
      <c r="J66" s="12">
        <v>5.5</v>
      </c>
      <c r="K66" s="12">
        <v>0.34375</v>
      </c>
      <c r="L66" s="12">
        <v>16</v>
      </c>
    </row>
    <row r="67" spans="1:12">
      <c r="A67" s="12">
        <v>13</v>
      </c>
      <c r="B67" s="12" t="s">
        <v>128</v>
      </c>
      <c r="C67" s="12" t="s">
        <v>85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/>
      <c r="J67" s="12">
        <v>0</v>
      </c>
      <c r="K67" s="12">
        <v>0</v>
      </c>
      <c r="L67" s="12">
        <v>1</v>
      </c>
    </row>
    <row r="68" spans="1:12">
      <c r="A68" s="12">
        <v>14</v>
      </c>
      <c r="B68" s="12" t="s">
        <v>130</v>
      </c>
      <c r="C68" s="12" t="s">
        <v>85</v>
      </c>
      <c r="D68" s="12">
        <v>0</v>
      </c>
      <c r="E68" s="12">
        <v>0</v>
      </c>
      <c r="F68" s="12">
        <v>1</v>
      </c>
      <c r="G68" s="12">
        <v>1</v>
      </c>
      <c r="H68" s="12">
        <v>0</v>
      </c>
      <c r="I68" s="12"/>
      <c r="J68" s="12">
        <v>-1</v>
      </c>
      <c r="K68" s="12">
        <v>-1</v>
      </c>
      <c r="L68" s="12">
        <v>1</v>
      </c>
    </row>
    <row r="69" spans="1:12">
      <c r="A69" s="12">
        <v>15</v>
      </c>
      <c r="B69" s="12" t="s">
        <v>129</v>
      </c>
      <c r="C69" s="12" t="s">
        <v>85</v>
      </c>
      <c r="D69" s="12">
        <v>0</v>
      </c>
      <c r="E69" s="12">
        <v>0</v>
      </c>
      <c r="F69" s="12">
        <v>1</v>
      </c>
      <c r="G69" s="12">
        <v>0.1</v>
      </c>
      <c r="H69" s="12">
        <v>0</v>
      </c>
      <c r="I69" s="12">
        <v>0</v>
      </c>
      <c r="J69" s="12">
        <v>-10</v>
      </c>
      <c r="K69" s="12">
        <v>-1</v>
      </c>
      <c r="L69" s="12">
        <v>10</v>
      </c>
    </row>
    <row r="71" spans="1:12">
      <c r="A71" s="20" t="s">
        <v>446</v>
      </c>
    </row>
    <row r="72" spans="1:12">
      <c r="A72" s="12" t="s">
        <v>40</v>
      </c>
      <c r="B72" s="12" t="s">
        <v>57</v>
      </c>
      <c r="C72" s="12" t="s">
        <v>135</v>
      </c>
      <c r="D72" s="12" t="s">
        <v>58</v>
      </c>
      <c r="E72" s="12" t="s">
        <v>142</v>
      </c>
      <c r="F72" s="12" t="s">
        <v>67</v>
      </c>
      <c r="G72" s="12" t="s">
        <v>143</v>
      </c>
      <c r="H72" s="12" t="s">
        <v>90</v>
      </c>
      <c r="I72" s="12" t="s">
        <v>91</v>
      </c>
      <c r="J72" s="12" t="s">
        <v>164</v>
      </c>
      <c r="K72" s="12" t="s">
        <v>165</v>
      </c>
      <c r="L72" s="12" t="s">
        <v>141</v>
      </c>
    </row>
    <row r="73" spans="1:12">
      <c r="A73" s="12">
        <v>1</v>
      </c>
      <c r="B73" s="12" t="s">
        <v>65</v>
      </c>
      <c r="C73" s="12" t="s">
        <v>86</v>
      </c>
      <c r="D73" s="12">
        <v>15</v>
      </c>
      <c r="E73" s="12">
        <v>1</v>
      </c>
      <c r="F73" s="12">
        <v>7</v>
      </c>
      <c r="G73" s="12">
        <v>0.466667</v>
      </c>
      <c r="H73" s="12">
        <v>0.373299</v>
      </c>
      <c r="I73" s="12">
        <v>0.375</v>
      </c>
      <c r="J73" s="12">
        <v>116.5</v>
      </c>
      <c r="K73" s="12">
        <v>7.766667</v>
      </c>
      <c r="L73" s="12">
        <v>15</v>
      </c>
    </row>
    <row r="75" spans="1:12">
      <c r="A75" s="20" t="s">
        <v>447</v>
      </c>
    </row>
    <row r="76" spans="1:12">
      <c r="A76" s="12" t="s">
        <v>40</v>
      </c>
      <c r="B76" s="12" t="s">
        <v>57</v>
      </c>
      <c r="C76" s="12" t="s">
        <v>135</v>
      </c>
      <c r="D76" s="12" t="s">
        <v>58</v>
      </c>
      <c r="E76" s="12" t="s">
        <v>142</v>
      </c>
      <c r="F76" s="12" t="s">
        <v>67</v>
      </c>
      <c r="G76" s="12" t="s">
        <v>143</v>
      </c>
      <c r="H76" s="12" t="s">
        <v>90</v>
      </c>
      <c r="I76" s="12" t="s">
        <v>91</v>
      </c>
      <c r="J76" s="12" t="s">
        <v>164</v>
      </c>
      <c r="K76" s="12" t="s">
        <v>165</v>
      </c>
      <c r="L76" s="12" t="s">
        <v>141</v>
      </c>
    </row>
    <row r="77" spans="1:12">
      <c r="A77" s="12">
        <v>1</v>
      </c>
      <c r="B77" s="12" t="s">
        <v>60</v>
      </c>
      <c r="C77" s="12" t="s">
        <v>85</v>
      </c>
      <c r="D77" s="12">
        <v>36</v>
      </c>
      <c r="E77" s="12">
        <v>2.25</v>
      </c>
      <c r="F77" s="12">
        <v>19</v>
      </c>
      <c r="G77" s="12">
        <v>1.1875</v>
      </c>
      <c r="H77" s="12">
        <v>0.401337</v>
      </c>
      <c r="I77" s="12">
        <v>0.423529</v>
      </c>
      <c r="J77" s="12">
        <v>270</v>
      </c>
      <c r="K77" s="12">
        <v>16.875</v>
      </c>
      <c r="L77" s="12">
        <v>16</v>
      </c>
    </row>
    <row r="78" spans="1:12">
      <c r="A78" s="12">
        <v>2</v>
      </c>
      <c r="B78" s="12" t="s">
        <v>61</v>
      </c>
      <c r="C78" s="12" t="s">
        <v>85</v>
      </c>
      <c r="D78" s="12">
        <v>22</v>
      </c>
      <c r="E78" s="12">
        <v>1.466667</v>
      </c>
      <c r="F78" s="12">
        <v>11</v>
      </c>
      <c r="G78" s="12">
        <v>0.733333</v>
      </c>
      <c r="H78" s="12">
        <v>0.382143</v>
      </c>
      <c r="I78" s="12">
        <v>0.431373</v>
      </c>
      <c r="J78" s="12">
        <v>195</v>
      </c>
      <c r="K78" s="12">
        <v>13</v>
      </c>
      <c r="L78" s="12">
        <v>15</v>
      </c>
    </row>
    <row r="79" spans="1:12">
      <c r="A79" s="12">
        <v>3</v>
      </c>
      <c r="B79" s="12" t="s">
        <v>63</v>
      </c>
      <c r="C79" s="12" t="s">
        <v>85</v>
      </c>
      <c r="D79" s="12">
        <v>16</v>
      </c>
      <c r="E79" s="12">
        <v>1.142857</v>
      </c>
      <c r="F79" s="12">
        <v>17</v>
      </c>
      <c r="G79" s="12">
        <v>1.214286</v>
      </c>
      <c r="H79" s="12">
        <v>0.391026</v>
      </c>
      <c r="I79" s="12">
        <v>0.484848</v>
      </c>
      <c r="J79" s="12">
        <v>117</v>
      </c>
      <c r="K79" s="12">
        <v>8.357143000000001</v>
      </c>
      <c r="L79" s="12">
        <v>14</v>
      </c>
    </row>
    <row r="80" spans="1:12">
      <c r="A80" s="12">
        <v>4</v>
      </c>
      <c r="B80" s="12" t="s">
        <v>64</v>
      </c>
      <c r="C80" s="12" t="s">
        <v>85</v>
      </c>
      <c r="D80" s="12">
        <v>16</v>
      </c>
      <c r="E80" s="12">
        <v>1.066667</v>
      </c>
      <c r="F80" s="12">
        <v>7</v>
      </c>
      <c r="G80" s="12">
        <v>0.466667</v>
      </c>
      <c r="H80" s="12">
        <v>0.351361</v>
      </c>
      <c r="I80" s="12">
        <v>0.347826</v>
      </c>
      <c r="J80" s="12">
        <v>111.5</v>
      </c>
      <c r="K80" s="12">
        <v>7.433333</v>
      </c>
      <c r="L80" s="12">
        <v>15</v>
      </c>
    </row>
    <row r="82" spans="1:12">
      <c r="A82" s="20" t="s">
        <v>448</v>
      </c>
    </row>
    <row r="83" spans="1:12">
      <c r="A83" s="12" t="s">
        <v>40</v>
      </c>
      <c r="B83" s="12" t="s">
        <v>57</v>
      </c>
      <c r="C83" s="12" t="s">
        <v>135</v>
      </c>
      <c r="D83" s="12" t="s">
        <v>58</v>
      </c>
      <c r="E83" s="12" t="s">
        <v>142</v>
      </c>
      <c r="F83" s="12" t="s">
        <v>67</v>
      </c>
      <c r="G83" s="12" t="s">
        <v>143</v>
      </c>
      <c r="H83" s="12" t="s">
        <v>90</v>
      </c>
      <c r="I83" s="12" t="s">
        <v>91</v>
      </c>
      <c r="J83" s="12" t="s">
        <v>164</v>
      </c>
      <c r="K83" s="12" t="s">
        <v>165</v>
      </c>
      <c r="L83" s="12" t="s">
        <v>141</v>
      </c>
    </row>
    <row r="84" spans="1:12">
      <c r="A84" s="12">
        <v>1</v>
      </c>
      <c r="B84" s="12" t="s">
        <v>59</v>
      </c>
      <c r="C84" s="12" t="s">
        <v>85</v>
      </c>
      <c r="D84" s="12">
        <v>57</v>
      </c>
      <c r="E84" s="12">
        <v>3.5625</v>
      </c>
      <c r="F84" s="12">
        <v>6</v>
      </c>
      <c r="G84" s="12">
        <v>0.375</v>
      </c>
      <c r="H84" s="12">
        <v>0.500387</v>
      </c>
      <c r="I84" s="12">
        <v>0.483051</v>
      </c>
      <c r="J84" s="12">
        <v>265.5</v>
      </c>
      <c r="K84" s="12">
        <v>16.59375</v>
      </c>
      <c r="L84" s="12">
        <v>16</v>
      </c>
    </row>
    <row r="85" spans="1:12">
      <c r="A85" s="12">
        <v>2</v>
      </c>
      <c r="B85" s="12" t="s">
        <v>62</v>
      </c>
      <c r="C85" s="12" t="s">
        <v>85</v>
      </c>
      <c r="D85" s="12">
        <v>19</v>
      </c>
      <c r="E85" s="12">
        <v>1.266667</v>
      </c>
      <c r="F85" s="12">
        <v>4</v>
      </c>
      <c r="G85" s="12">
        <v>0.266667</v>
      </c>
      <c r="H85" s="12">
        <v>0.458333</v>
      </c>
      <c r="I85" s="12">
        <v>0.575758</v>
      </c>
      <c r="J85" s="12">
        <v>164.5</v>
      </c>
      <c r="K85" s="12">
        <v>10.966667</v>
      </c>
      <c r="L85" s="12">
        <v>15</v>
      </c>
    </row>
    <row r="86" spans="1:12">
      <c r="A86" s="12">
        <v>3</v>
      </c>
      <c r="B86" s="12" t="s">
        <v>65</v>
      </c>
      <c r="C86" s="12" t="s">
        <v>86</v>
      </c>
      <c r="D86" s="12">
        <v>15</v>
      </c>
      <c r="E86" s="12">
        <v>1</v>
      </c>
      <c r="F86" s="12">
        <v>7</v>
      </c>
      <c r="G86" s="12">
        <v>0.466667</v>
      </c>
      <c r="H86" s="12">
        <v>0.373299</v>
      </c>
      <c r="I86" s="12">
        <v>0.375</v>
      </c>
      <c r="J86" s="12">
        <v>116.5</v>
      </c>
      <c r="K86" s="12">
        <v>7.766667</v>
      </c>
      <c r="L86" s="12">
        <v>15</v>
      </c>
    </row>
    <row r="87" spans="1:12">
      <c r="A87" s="12">
        <v>4</v>
      </c>
      <c r="B87" s="12" t="s">
        <v>71</v>
      </c>
      <c r="C87" s="12" t="s">
        <v>85</v>
      </c>
      <c r="D87" s="12">
        <v>10</v>
      </c>
      <c r="E87" s="12">
        <v>0.769231</v>
      </c>
      <c r="F87" s="12">
        <v>12</v>
      </c>
      <c r="G87" s="12">
        <v>0.923077</v>
      </c>
      <c r="H87" s="12">
        <v>0.333333</v>
      </c>
      <c r="I87" s="12">
        <v>0.384615</v>
      </c>
      <c r="J87" s="12">
        <v>83.5</v>
      </c>
      <c r="K87" s="12">
        <v>6.423077</v>
      </c>
      <c r="L87" s="12">
        <v>13</v>
      </c>
    </row>
    <row r="88" spans="1:12">
      <c r="A88" s="12">
        <v>5</v>
      </c>
      <c r="B88" s="12" t="s">
        <v>68</v>
      </c>
      <c r="C88" s="12" t="s">
        <v>85</v>
      </c>
      <c r="D88" s="12">
        <v>4</v>
      </c>
      <c r="E88" s="12">
        <v>0.25</v>
      </c>
      <c r="F88" s="12">
        <v>20</v>
      </c>
      <c r="G88" s="12">
        <v>1.25</v>
      </c>
      <c r="H88" s="12">
        <v>0.094444</v>
      </c>
      <c r="I88" s="12">
        <v>0.2</v>
      </c>
      <c r="J88" s="12">
        <v>56</v>
      </c>
      <c r="K88" s="12">
        <v>3.5</v>
      </c>
      <c r="L88" s="12">
        <v>16</v>
      </c>
    </row>
    <row r="89" spans="1:12">
      <c r="A89" s="12">
        <v>6</v>
      </c>
      <c r="B89" s="12" t="s">
        <v>70</v>
      </c>
      <c r="C89" s="12" t="s">
        <v>85</v>
      </c>
      <c r="D89" s="12">
        <v>1</v>
      </c>
      <c r="E89" s="12">
        <v>0.0625</v>
      </c>
      <c r="F89" s="12">
        <v>14</v>
      </c>
      <c r="G89" s="12">
        <v>0.875</v>
      </c>
      <c r="H89" s="12">
        <v>0.033333</v>
      </c>
      <c r="I89" s="12">
        <v>0.07142900000000001</v>
      </c>
      <c r="J89" s="12">
        <v>51.5</v>
      </c>
      <c r="K89" s="12">
        <v>3.21875</v>
      </c>
      <c r="L89" s="12">
        <v>16</v>
      </c>
    </row>
    <row r="90" spans="1:12">
      <c r="A90" s="12">
        <v>7</v>
      </c>
      <c r="B90" s="12" t="s">
        <v>66</v>
      </c>
      <c r="C90" s="12" t="s">
        <v>85</v>
      </c>
      <c r="D90" s="12">
        <v>11</v>
      </c>
      <c r="E90" s="12">
        <v>0.785714</v>
      </c>
      <c r="F90" s="12">
        <v>4</v>
      </c>
      <c r="G90" s="12">
        <v>0.285714</v>
      </c>
      <c r="H90" s="12">
        <v>0.358974</v>
      </c>
      <c r="I90" s="12">
        <v>0.407407</v>
      </c>
      <c r="J90" s="12">
        <v>47</v>
      </c>
      <c r="K90" s="12">
        <v>3.357143</v>
      </c>
      <c r="L90" s="12">
        <v>14</v>
      </c>
    </row>
    <row r="91" spans="1:12">
      <c r="A91" s="12">
        <v>8</v>
      </c>
      <c r="B91" s="12" t="s">
        <v>127</v>
      </c>
      <c r="C91" s="12" t="s">
        <v>85</v>
      </c>
      <c r="D91" s="12">
        <v>1</v>
      </c>
      <c r="E91" s="12">
        <v>1</v>
      </c>
      <c r="F91" s="12">
        <v>0</v>
      </c>
      <c r="G91" s="12">
        <v>0</v>
      </c>
      <c r="H91" s="12">
        <v>0.333333</v>
      </c>
      <c r="I91" s="12">
        <v>0.333333</v>
      </c>
      <c r="J91" s="12">
        <v>9.5</v>
      </c>
      <c r="K91" s="12">
        <v>9.5</v>
      </c>
      <c r="L91" s="12">
        <v>1</v>
      </c>
    </row>
    <row r="92" spans="1:12">
      <c r="A92" s="12">
        <v>9</v>
      </c>
      <c r="B92" s="12" t="s">
        <v>69</v>
      </c>
      <c r="C92" s="12" t="s">
        <v>85</v>
      </c>
      <c r="D92" s="12">
        <v>3</v>
      </c>
      <c r="E92" s="12">
        <v>0.1875</v>
      </c>
      <c r="F92" s="12">
        <v>14</v>
      </c>
      <c r="G92" s="12">
        <v>0.875</v>
      </c>
      <c r="H92" s="12">
        <v>0.133333</v>
      </c>
      <c r="I92" s="12">
        <v>0.15</v>
      </c>
      <c r="J92" s="12">
        <v>5.5</v>
      </c>
      <c r="K92" s="12">
        <v>0.34375</v>
      </c>
      <c r="L92" s="12">
        <v>16</v>
      </c>
    </row>
    <row r="93" spans="1:12">
      <c r="A93" s="12">
        <v>10</v>
      </c>
      <c r="B93" s="12" t="s">
        <v>128</v>
      </c>
      <c r="C93" s="12" t="s">
        <v>85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/>
      <c r="J93" s="12">
        <v>0</v>
      </c>
      <c r="K93" s="12">
        <v>0</v>
      </c>
      <c r="L93" s="12">
        <v>1</v>
      </c>
    </row>
    <row r="94" spans="1:12">
      <c r="A94" s="12">
        <v>11</v>
      </c>
      <c r="B94" s="12" t="s">
        <v>130</v>
      </c>
      <c r="C94" s="12" t="s">
        <v>85</v>
      </c>
      <c r="D94" s="12">
        <v>0</v>
      </c>
      <c r="E94" s="12">
        <v>0</v>
      </c>
      <c r="F94" s="12">
        <v>1</v>
      </c>
      <c r="G94" s="12">
        <v>1</v>
      </c>
      <c r="H94" s="12">
        <v>0</v>
      </c>
      <c r="I94" s="12"/>
      <c r="J94" s="12">
        <v>-1</v>
      </c>
      <c r="K94" s="12">
        <v>-1</v>
      </c>
      <c r="L94" s="12">
        <v>1</v>
      </c>
    </row>
    <row r="95" spans="1:12">
      <c r="A95" s="12">
        <v>12</v>
      </c>
      <c r="B95" s="12" t="s">
        <v>129</v>
      </c>
      <c r="C95" s="12" t="s">
        <v>85</v>
      </c>
      <c r="D95" s="12">
        <v>0</v>
      </c>
      <c r="E95" s="12">
        <v>0</v>
      </c>
      <c r="F95" s="12">
        <v>1</v>
      </c>
      <c r="G95" s="12">
        <v>0.1</v>
      </c>
      <c r="H95" s="12">
        <v>0</v>
      </c>
      <c r="I95" s="12">
        <v>0</v>
      </c>
      <c r="J95" s="12">
        <v>-10</v>
      </c>
      <c r="K95" s="12">
        <v>-1</v>
      </c>
      <c r="L95" s="12">
        <v>10</v>
      </c>
    </row>
    <row r="97" spans="1:2">
      <c r="A97" s="20" t="s">
        <v>52</v>
      </c>
    </row>
    <row r="98" spans="1:2">
      <c r="A98" s="12" t="s">
        <v>449</v>
      </c>
      <c r="B98" s="12" t="s">
        <v>450</v>
      </c>
    </row>
    <row r="99" spans="1:2">
      <c r="A99" s="12" t="s">
        <v>451</v>
      </c>
      <c r="B99" s="21" t="s">
        <v>452</v>
      </c>
    </row>
    <row r="100" spans="1:2">
      <c r="A100" s="12" t="s">
        <v>453</v>
      </c>
      <c r="B100" s="21" t="s">
        <v>454</v>
      </c>
    </row>
    <row r="101" spans="1:2">
      <c r="A101" s="12" t="s">
        <v>455</v>
      </c>
      <c r="B101" s="21" t="s">
        <v>456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N2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20.7109375" customWidth="1"/>
    <col min="3" max="3" width="16.7109375" customWidth="1"/>
    <col min="4" max="4" width="11.7109375" customWidth="1"/>
    <col min="5" max="5" width="15.7109375" customWidth="1"/>
    <col min="6" max="6" width="11.7109375" customWidth="1"/>
    <col min="7" max="7" width="13.7109375" customWidth="1"/>
    <col min="8" max="8" width="6.7109375" customWidth="1"/>
    <col min="9" max="9" width="12.7109375" customWidth="1"/>
    <col min="10" max="10" width="22.7109375" customWidth="1"/>
    <col min="11" max="11" width="7.7109375" customWidth="1"/>
    <col min="12" max="12" width="13.7109375" customWidth="1"/>
    <col min="13" max="13" width="24.7109375" customWidth="1"/>
    <col min="14" max="14" width="22.7109375" customWidth="1"/>
    <col min="15" max="15" width="19.7109375" customWidth="1"/>
    <col min="16" max="16" width="20.7109375" customWidth="1"/>
    <col min="17" max="17" width="28.7109375" customWidth="1"/>
    <col min="18" max="18" width="9.140625" style="19"/>
    <col min="19" max="25" width="9.140625" style="17"/>
    <col min="26" max="31" width="9.140625" style="19"/>
    <col min="32" max="33" width="14.7109375" style="16" customWidth="1"/>
    <col min="34" max="34" width="26.7109375" customWidth="1"/>
    <col min="35" max="35" width="10.7109375" customWidth="1"/>
    <col min="36" max="36" width="12.7109375" customWidth="1"/>
    <col min="37" max="37" width="7.7109375" customWidth="1"/>
    <col min="38" max="38" width="28.7109375" customWidth="1"/>
    <col min="39" max="39" width="16.7109375" customWidth="1"/>
    <col min="40" max="40" width="20.7109375" customWidth="1"/>
  </cols>
  <sheetData>
    <row r="1" spans="1:40">
      <c r="A1" s="15" t="s">
        <v>457</v>
      </c>
      <c r="B1" s="15" t="s">
        <v>458</v>
      </c>
      <c r="C1" s="15" t="s">
        <v>308</v>
      </c>
      <c r="D1" s="15" t="s">
        <v>57</v>
      </c>
      <c r="E1" s="15" t="s">
        <v>132</v>
      </c>
      <c r="F1" s="15" t="s">
        <v>133</v>
      </c>
      <c r="G1" s="15" t="s">
        <v>134</v>
      </c>
      <c r="H1" s="15" t="s">
        <v>135</v>
      </c>
      <c r="I1" s="15" t="s">
        <v>136</v>
      </c>
      <c r="J1" s="15" t="s">
        <v>137</v>
      </c>
      <c r="K1" s="15" t="s">
        <v>138</v>
      </c>
      <c r="L1" s="15" t="s">
        <v>139</v>
      </c>
      <c r="M1" s="15" t="s">
        <v>140</v>
      </c>
      <c r="N1" s="15" t="s">
        <v>459</v>
      </c>
      <c r="O1" s="15" t="s">
        <v>460</v>
      </c>
      <c r="P1" s="15" t="s">
        <v>461</v>
      </c>
      <c r="Q1" s="15" t="s">
        <v>211</v>
      </c>
      <c r="R1" s="15" t="s">
        <v>462</v>
      </c>
      <c r="S1" s="15" t="s">
        <v>182</v>
      </c>
      <c r="T1" s="15" t="s">
        <v>183</v>
      </c>
      <c r="U1" s="15" t="s">
        <v>184</v>
      </c>
      <c r="V1" s="15" t="s">
        <v>186</v>
      </c>
      <c r="W1" s="15" t="s">
        <v>188</v>
      </c>
      <c r="X1" s="15" t="s">
        <v>190</v>
      </c>
      <c r="Y1" s="15" t="s">
        <v>212</v>
      </c>
      <c r="Z1" s="15" t="s">
        <v>189</v>
      </c>
      <c r="AA1" s="15" t="s">
        <v>191</v>
      </c>
      <c r="AB1" s="15" t="s">
        <v>187</v>
      </c>
      <c r="AC1" s="15" t="s">
        <v>213</v>
      </c>
      <c r="AD1" s="15" t="s">
        <v>192</v>
      </c>
      <c r="AE1" s="15" t="s">
        <v>193</v>
      </c>
      <c r="AF1" s="15" t="s">
        <v>214</v>
      </c>
      <c r="AG1" s="15" t="s">
        <v>185</v>
      </c>
      <c r="AH1" s="15" t="s">
        <v>305</v>
      </c>
      <c r="AI1" s="15" t="s">
        <v>23</v>
      </c>
      <c r="AJ1" s="15" t="s">
        <v>24</v>
      </c>
      <c r="AK1" s="15" t="s">
        <v>306</v>
      </c>
      <c r="AL1" s="15" t="s">
        <v>307</v>
      </c>
      <c r="AM1" s="15" t="s">
        <v>26</v>
      </c>
      <c r="AN1" s="15" t="s">
        <v>25</v>
      </c>
    </row>
    <row r="2" spans="1:40">
      <c r="A2" t="s">
        <v>364</v>
      </c>
      <c r="B2" t="s">
        <v>51</v>
      </c>
      <c r="C2" t="s">
        <v>236</v>
      </c>
      <c r="D2" t="s">
        <v>63</v>
      </c>
      <c r="E2" t="s">
        <v>63</v>
      </c>
      <c r="F2" t="s">
        <v>166</v>
      </c>
      <c r="G2" t="s">
        <v>166</v>
      </c>
      <c r="H2" t="s">
        <v>85</v>
      </c>
      <c r="I2" t="s">
        <v>167</v>
      </c>
      <c r="J2" t="s">
        <v>171</v>
      </c>
      <c r="K2" t="s">
        <v>88</v>
      </c>
      <c r="L2" t="s">
        <v>175</v>
      </c>
      <c r="M2" t="s">
        <v>179</v>
      </c>
      <c r="N2" t="s">
        <v>88</v>
      </c>
      <c r="O2" t="s">
        <v>89</v>
      </c>
      <c r="P2" t="s">
        <v>89</v>
      </c>
      <c r="Q2" t="s">
        <v>89</v>
      </c>
      <c r="R2" s="19" t="s">
        <v>88</v>
      </c>
      <c r="S2" s="17">
        <v>2</v>
      </c>
      <c r="T2" s="17">
        <v>1</v>
      </c>
      <c r="U2" s="17">
        <v>2</v>
      </c>
      <c r="V2" s="17">
        <v>3</v>
      </c>
      <c r="Z2" s="19">
        <v>1</v>
      </c>
      <c r="AB2" s="19">
        <v>3</v>
      </c>
      <c r="AF2" s="16">
        <v>1</v>
      </c>
      <c r="AH2" t="s">
        <v>322</v>
      </c>
      <c r="AI2">
        <v>2</v>
      </c>
      <c r="AJ2" t="s">
        <v>195</v>
      </c>
      <c r="AK2" t="s">
        <v>340</v>
      </c>
      <c r="AL2" t="s">
        <v>354</v>
      </c>
      <c r="AM2" t="s">
        <v>19</v>
      </c>
      <c r="AN2" t="s">
        <v>51</v>
      </c>
    </row>
    <row r="3" spans="1:40">
      <c r="A3" t="s">
        <v>364</v>
      </c>
      <c r="B3" t="s">
        <v>51</v>
      </c>
      <c r="C3" t="s">
        <v>236</v>
      </c>
      <c r="D3" t="s">
        <v>69</v>
      </c>
      <c r="E3" t="s">
        <v>69</v>
      </c>
      <c r="F3" t="s">
        <v>166</v>
      </c>
      <c r="G3" t="s">
        <v>166</v>
      </c>
      <c r="H3" t="s">
        <v>85</v>
      </c>
      <c r="I3" t="s">
        <v>168</v>
      </c>
      <c r="J3" t="s">
        <v>172</v>
      </c>
      <c r="K3" t="s">
        <v>89</v>
      </c>
      <c r="N3" t="s">
        <v>88</v>
      </c>
      <c r="O3" t="s">
        <v>89</v>
      </c>
      <c r="P3" t="s">
        <v>89</v>
      </c>
      <c r="Q3" t="s">
        <v>89</v>
      </c>
      <c r="R3" s="19" t="s">
        <v>88</v>
      </c>
      <c r="T3" s="17">
        <v>1</v>
      </c>
      <c r="X3" s="17">
        <v>1</v>
      </c>
      <c r="AB3" s="19">
        <v>1</v>
      </c>
      <c r="AF3" s="16">
        <v>0</v>
      </c>
      <c r="AH3" t="s">
        <v>322</v>
      </c>
      <c r="AI3">
        <v>2</v>
      </c>
      <c r="AJ3" t="s">
        <v>195</v>
      </c>
      <c r="AK3" t="s">
        <v>340</v>
      </c>
      <c r="AL3" t="s">
        <v>354</v>
      </c>
      <c r="AM3" t="s">
        <v>19</v>
      </c>
      <c r="AN3" t="s">
        <v>51</v>
      </c>
    </row>
    <row r="4" spans="1:40">
      <c r="A4" t="s">
        <v>364</v>
      </c>
      <c r="B4" t="s">
        <v>51</v>
      </c>
      <c r="C4" t="s">
        <v>236</v>
      </c>
      <c r="D4" t="s">
        <v>60</v>
      </c>
      <c r="E4" t="s">
        <v>60</v>
      </c>
      <c r="F4" t="s">
        <v>166</v>
      </c>
      <c r="G4" t="s">
        <v>166</v>
      </c>
      <c r="H4" t="s">
        <v>85</v>
      </c>
      <c r="I4" t="s">
        <v>167</v>
      </c>
      <c r="J4" t="s">
        <v>171</v>
      </c>
      <c r="K4" t="s">
        <v>88</v>
      </c>
      <c r="L4" t="s">
        <v>176</v>
      </c>
      <c r="M4" t="s">
        <v>138</v>
      </c>
      <c r="N4" t="s">
        <v>88</v>
      </c>
      <c r="O4" t="s">
        <v>89</v>
      </c>
      <c r="P4" t="s">
        <v>89</v>
      </c>
      <c r="Q4" t="s">
        <v>89</v>
      </c>
      <c r="R4" s="19" t="s">
        <v>88</v>
      </c>
      <c r="T4" s="17">
        <v>1</v>
      </c>
      <c r="W4" s="17">
        <v>1</v>
      </c>
      <c r="Z4" s="19">
        <v>3</v>
      </c>
      <c r="AF4" s="16">
        <v>0</v>
      </c>
      <c r="AH4" t="s">
        <v>322</v>
      </c>
      <c r="AI4">
        <v>2</v>
      </c>
      <c r="AJ4" t="s">
        <v>195</v>
      </c>
      <c r="AK4" t="s">
        <v>340</v>
      </c>
      <c r="AL4" t="s">
        <v>354</v>
      </c>
      <c r="AM4" t="s">
        <v>19</v>
      </c>
      <c r="AN4" t="s">
        <v>51</v>
      </c>
    </row>
    <row r="5" spans="1:40">
      <c r="A5" t="s">
        <v>364</v>
      </c>
      <c r="B5" t="s">
        <v>51</v>
      </c>
      <c r="C5" t="s">
        <v>236</v>
      </c>
      <c r="D5" t="s">
        <v>61</v>
      </c>
      <c r="E5" t="s">
        <v>61</v>
      </c>
      <c r="F5" t="s">
        <v>166</v>
      </c>
      <c r="G5" t="s">
        <v>166</v>
      </c>
      <c r="H5" t="s">
        <v>85</v>
      </c>
      <c r="I5" t="s">
        <v>169</v>
      </c>
      <c r="J5" t="s">
        <v>173</v>
      </c>
      <c r="K5" t="s">
        <v>88</v>
      </c>
      <c r="L5" t="s">
        <v>177</v>
      </c>
      <c r="M5" t="s">
        <v>138</v>
      </c>
      <c r="N5" t="s">
        <v>88</v>
      </c>
      <c r="O5" t="s">
        <v>89</v>
      </c>
      <c r="P5" t="s">
        <v>89</v>
      </c>
      <c r="Q5" t="s">
        <v>89</v>
      </c>
      <c r="R5" s="19" t="s">
        <v>88</v>
      </c>
      <c r="S5" s="17">
        <v>4</v>
      </c>
      <c r="T5" s="17">
        <v>0</v>
      </c>
      <c r="U5" s="17">
        <v>6</v>
      </c>
      <c r="V5" s="17">
        <v>1</v>
      </c>
      <c r="W5" s="17">
        <v>2</v>
      </c>
      <c r="X5" s="17">
        <v>1</v>
      </c>
      <c r="AB5" s="19">
        <v>2</v>
      </c>
      <c r="AD5" s="19">
        <v>2</v>
      </c>
      <c r="AF5" s="16">
        <v>0.666667</v>
      </c>
      <c r="AH5" t="s">
        <v>322</v>
      </c>
      <c r="AI5">
        <v>2</v>
      </c>
      <c r="AJ5" t="s">
        <v>195</v>
      </c>
      <c r="AK5" t="s">
        <v>340</v>
      </c>
      <c r="AL5" t="s">
        <v>354</v>
      </c>
      <c r="AM5" t="s">
        <v>19</v>
      </c>
      <c r="AN5" t="s">
        <v>51</v>
      </c>
    </row>
    <row r="6" spans="1:40">
      <c r="A6" t="s">
        <v>364</v>
      </c>
      <c r="B6" t="s">
        <v>51</v>
      </c>
      <c r="C6" t="s">
        <v>236</v>
      </c>
      <c r="D6" t="s">
        <v>68</v>
      </c>
      <c r="E6" t="s">
        <v>68</v>
      </c>
      <c r="F6" t="s">
        <v>166</v>
      </c>
      <c r="G6" t="s">
        <v>166</v>
      </c>
      <c r="H6" t="s">
        <v>85</v>
      </c>
      <c r="I6" t="s">
        <v>170</v>
      </c>
      <c r="J6" t="s">
        <v>174</v>
      </c>
      <c r="K6" t="s">
        <v>89</v>
      </c>
      <c r="N6" t="s">
        <v>88</v>
      </c>
      <c r="O6" t="s">
        <v>89</v>
      </c>
      <c r="P6" t="s">
        <v>89</v>
      </c>
      <c r="Q6" t="s">
        <v>89</v>
      </c>
      <c r="R6" s="19" t="s">
        <v>88</v>
      </c>
      <c r="T6" s="17">
        <v>3</v>
      </c>
      <c r="U6" s="17">
        <v>1</v>
      </c>
      <c r="V6" s="17">
        <v>1</v>
      </c>
      <c r="AD6" s="19">
        <v>1</v>
      </c>
      <c r="AF6" s="16">
        <v>0</v>
      </c>
      <c r="AH6" t="s">
        <v>322</v>
      </c>
      <c r="AI6">
        <v>2</v>
      </c>
      <c r="AJ6" t="s">
        <v>195</v>
      </c>
      <c r="AK6" t="s">
        <v>340</v>
      </c>
      <c r="AL6" t="s">
        <v>354</v>
      </c>
      <c r="AM6" t="s">
        <v>19</v>
      </c>
      <c r="AN6" t="s">
        <v>51</v>
      </c>
    </row>
    <row r="7" spans="1:40">
      <c r="A7" t="s">
        <v>364</v>
      </c>
      <c r="B7" t="s">
        <v>51</v>
      </c>
      <c r="C7" t="s">
        <v>236</v>
      </c>
      <c r="D7" t="s">
        <v>65</v>
      </c>
      <c r="E7" t="s">
        <v>65</v>
      </c>
      <c r="F7" t="s">
        <v>166</v>
      </c>
      <c r="G7" t="s">
        <v>166</v>
      </c>
      <c r="H7" t="s">
        <v>86</v>
      </c>
      <c r="I7" t="s">
        <v>170</v>
      </c>
      <c r="J7" t="s">
        <v>174</v>
      </c>
      <c r="K7" t="s">
        <v>89</v>
      </c>
      <c r="N7" t="s">
        <v>88</v>
      </c>
      <c r="O7" t="s">
        <v>89</v>
      </c>
      <c r="P7" t="s">
        <v>89</v>
      </c>
      <c r="Q7" t="s">
        <v>89</v>
      </c>
      <c r="R7" s="19" t="s">
        <v>88</v>
      </c>
      <c r="S7" s="17">
        <v>1</v>
      </c>
      <c r="U7" s="17">
        <v>1</v>
      </c>
      <c r="V7" s="17">
        <v>1</v>
      </c>
      <c r="Z7" s="19">
        <v>1</v>
      </c>
      <c r="AB7" s="19">
        <v>3</v>
      </c>
      <c r="AD7" s="19">
        <v>1</v>
      </c>
      <c r="AF7" s="16">
        <v>1</v>
      </c>
      <c r="AH7" t="s">
        <v>322</v>
      </c>
      <c r="AI7">
        <v>2</v>
      </c>
      <c r="AJ7" t="s">
        <v>195</v>
      </c>
      <c r="AK7" t="s">
        <v>340</v>
      </c>
      <c r="AL7" t="s">
        <v>354</v>
      </c>
      <c r="AM7" t="s">
        <v>19</v>
      </c>
      <c r="AN7" t="s">
        <v>51</v>
      </c>
    </row>
    <row r="8" spans="1:40">
      <c r="A8" t="s">
        <v>364</v>
      </c>
      <c r="B8" t="s">
        <v>51</v>
      </c>
      <c r="C8" t="s">
        <v>236</v>
      </c>
      <c r="D8" t="s">
        <v>64</v>
      </c>
      <c r="E8" t="s">
        <v>64</v>
      </c>
      <c r="F8" t="s">
        <v>166</v>
      </c>
      <c r="G8" t="s">
        <v>166</v>
      </c>
      <c r="H8" t="s">
        <v>85</v>
      </c>
      <c r="I8" t="s">
        <v>168</v>
      </c>
      <c r="J8" t="s">
        <v>172</v>
      </c>
      <c r="K8" t="s">
        <v>88</v>
      </c>
      <c r="L8" t="s">
        <v>178</v>
      </c>
      <c r="M8" t="s">
        <v>138</v>
      </c>
      <c r="N8" t="s">
        <v>88</v>
      </c>
      <c r="O8" t="s">
        <v>89</v>
      </c>
      <c r="P8" t="s">
        <v>89</v>
      </c>
      <c r="Q8" t="s">
        <v>89</v>
      </c>
      <c r="R8" s="19" t="s">
        <v>88</v>
      </c>
      <c r="S8" s="17">
        <v>1</v>
      </c>
      <c r="T8" s="17">
        <v>1</v>
      </c>
      <c r="U8" s="17">
        <v>4</v>
      </c>
      <c r="Z8" s="19">
        <v>1</v>
      </c>
      <c r="AB8" s="19">
        <v>2</v>
      </c>
      <c r="AD8" s="19">
        <v>1</v>
      </c>
      <c r="AF8" s="16">
        <v>0.25</v>
      </c>
      <c r="AH8" t="s">
        <v>322</v>
      </c>
      <c r="AI8">
        <v>2</v>
      </c>
      <c r="AJ8" t="s">
        <v>195</v>
      </c>
      <c r="AK8" t="s">
        <v>340</v>
      </c>
      <c r="AL8" t="s">
        <v>354</v>
      </c>
      <c r="AM8" t="s">
        <v>19</v>
      </c>
      <c r="AN8" t="s">
        <v>51</v>
      </c>
    </row>
    <row r="9" spans="1:40">
      <c r="A9" t="s">
        <v>364</v>
      </c>
      <c r="B9" t="s">
        <v>51</v>
      </c>
      <c r="C9" t="s">
        <v>236</v>
      </c>
      <c r="D9" t="s">
        <v>71</v>
      </c>
      <c r="E9" t="s">
        <v>71</v>
      </c>
      <c r="F9" t="s">
        <v>166</v>
      </c>
      <c r="G9" t="s">
        <v>166</v>
      </c>
      <c r="H9" t="s">
        <v>85</v>
      </c>
      <c r="I9" t="s">
        <v>170</v>
      </c>
      <c r="J9" t="s">
        <v>174</v>
      </c>
      <c r="K9" t="s">
        <v>89</v>
      </c>
      <c r="N9" t="s">
        <v>88</v>
      </c>
      <c r="O9" t="s">
        <v>89</v>
      </c>
      <c r="P9" t="s">
        <v>88</v>
      </c>
      <c r="Q9" t="s">
        <v>89</v>
      </c>
      <c r="R9" s="19" t="s">
        <v>88</v>
      </c>
      <c r="AF9" s="16">
        <v>0</v>
      </c>
      <c r="AH9" t="s">
        <v>322</v>
      </c>
      <c r="AI9">
        <v>2</v>
      </c>
      <c r="AJ9" t="s">
        <v>195</v>
      </c>
      <c r="AK9" t="s">
        <v>340</v>
      </c>
      <c r="AL9" t="s">
        <v>354</v>
      </c>
      <c r="AM9" t="s">
        <v>19</v>
      </c>
      <c r="AN9" t="s">
        <v>51</v>
      </c>
    </row>
    <row r="10" spans="1:40">
      <c r="A10" t="s">
        <v>364</v>
      </c>
      <c r="B10" t="s">
        <v>51</v>
      </c>
      <c r="C10" t="s">
        <v>236</v>
      </c>
      <c r="D10" t="s">
        <v>129</v>
      </c>
      <c r="E10" t="s">
        <v>129</v>
      </c>
      <c r="F10" t="s">
        <v>166</v>
      </c>
      <c r="G10" t="s">
        <v>166</v>
      </c>
      <c r="H10" t="s">
        <v>85</v>
      </c>
      <c r="I10" t="s">
        <v>170</v>
      </c>
      <c r="J10" t="s">
        <v>174</v>
      </c>
      <c r="K10" t="s">
        <v>89</v>
      </c>
      <c r="N10" t="s">
        <v>88</v>
      </c>
      <c r="O10" t="s">
        <v>89</v>
      </c>
      <c r="P10" t="s">
        <v>89</v>
      </c>
      <c r="Q10" t="s">
        <v>89</v>
      </c>
      <c r="R10" s="19" t="s">
        <v>88</v>
      </c>
      <c r="U10" s="17">
        <v>1</v>
      </c>
      <c r="V10" s="17">
        <v>1</v>
      </c>
      <c r="W10" s="17">
        <v>1</v>
      </c>
      <c r="Z10" s="19">
        <v>1</v>
      </c>
      <c r="AD10" s="19">
        <v>2</v>
      </c>
      <c r="AF10" s="16">
        <v>0</v>
      </c>
      <c r="AH10" t="s">
        <v>322</v>
      </c>
      <c r="AI10">
        <v>2</v>
      </c>
      <c r="AJ10" t="s">
        <v>195</v>
      </c>
      <c r="AK10" t="s">
        <v>340</v>
      </c>
      <c r="AL10" t="s">
        <v>354</v>
      </c>
      <c r="AM10" t="s">
        <v>19</v>
      </c>
      <c r="AN10" t="s">
        <v>51</v>
      </c>
    </row>
    <row r="11" spans="1:40">
      <c r="A11" t="s">
        <v>364</v>
      </c>
      <c r="B11" t="s">
        <v>51</v>
      </c>
      <c r="C11" t="s">
        <v>236</v>
      </c>
      <c r="D11" t="s">
        <v>66</v>
      </c>
      <c r="E11" t="s">
        <v>66</v>
      </c>
      <c r="F11" t="s">
        <v>166</v>
      </c>
      <c r="G11" t="s">
        <v>166</v>
      </c>
      <c r="H11" t="s">
        <v>85</v>
      </c>
      <c r="I11" t="s">
        <v>167</v>
      </c>
      <c r="J11" t="s">
        <v>171</v>
      </c>
      <c r="K11" t="s">
        <v>89</v>
      </c>
      <c r="N11" t="s">
        <v>88</v>
      </c>
      <c r="O11" t="s">
        <v>89</v>
      </c>
      <c r="P11" t="s">
        <v>89</v>
      </c>
      <c r="Q11" t="s">
        <v>89</v>
      </c>
      <c r="R11" s="19" t="s">
        <v>88</v>
      </c>
      <c r="U11" s="17">
        <v>1</v>
      </c>
      <c r="AF11" s="16">
        <v>0</v>
      </c>
      <c r="AH11" t="s">
        <v>322</v>
      </c>
      <c r="AI11">
        <v>2</v>
      </c>
      <c r="AJ11" t="s">
        <v>195</v>
      </c>
      <c r="AK11" t="s">
        <v>340</v>
      </c>
      <c r="AL11" t="s">
        <v>354</v>
      </c>
      <c r="AM11" t="s">
        <v>19</v>
      </c>
      <c r="AN11" t="s">
        <v>51</v>
      </c>
    </row>
    <row r="12" spans="1:40">
      <c r="A12" t="s">
        <v>364</v>
      </c>
      <c r="B12" t="s">
        <v>51</v>
      </c>
      <c r="C12" t="s">
        <v>236</v>
      </c>
      <c r="D12" t="s">
        <v>70</v>
      </c>
      <c r="E12" t="s">
        <v>70</v>
      </c>
      <c r="F12" t="s">
        <v>166</v>
      </c>
      <c r="G12" t="s">
        <v>166</v>
      </c>
      <c r="H12" t="s">
        <v>85</v>
      </c>
      <c r="I12" t="s">
        <v>170</v>
      </c>
      <c r="J12" t="s">
        <v>174</v>
      </c>
      <c r="K12" t="s">
        <v>89</v>
      </c>
      <c r="N12" t="s">
        <v>88</v>
      </c>
      <c r="O12" t="s">
        <v>89</v>
      </c>
      <c r="P12" t="s">
        <v>89</v>
      </c>
      <c r="Q12" t="s">
        <v>89</v>
      </c>
      <c r="R12" s="19" t="s">
        <v>88</v>
      </c>
      <c r="V12" s="17">
        <v>1</v>
      </c>
      <c r="X12" s="17">
        <v>1</v>
      </c>
      <c r="Z12" s="19">
        <v>1</v>
      </c>
      <c r="AF12" s="16">
        <v>0</v>
      </c>
      <c r="AH12" t="s">
        <v>322</v>
      </c>
      <c r="AI12">
        <v>2</v>
      </c>
      <c r="AJ12" t="s">
        <v>195</v>
      </c>
      <c r="AK12" t="s">
        <v>340</v>
      </c>
      <c r="AL12" t="s">
        <v>354</v>
      </c>
      <c r="AM12" t="s">
        <v>19</v>
      </c>
      <c r="AN12" t="s">
        <v>51</v>
      </c>
    </row>
    <row r="13" spans="1:40">
      <c r="A13" t="s">
        <v>364</v>
      </c>
      <c r="B13" t="s">
        <v>51</v>
      </c>
      <c r="C13" t="s">
        <v>236</v>
      </c>
      <c r="D13" t="s">
        <v>62</v>
      </c>
      <c r="E13" t="s">
        <v>62</v>
      </c>
      <c r="F13" t="s">
        <v>166</v>
      </c>
      <c r="G13" t="s">
        <v>166</v>
      </c>
      <c r="H13" t="s">
        <v>85</v>
      </c>
      <c r="I13" t="s">
        <v>169</v>
      </c>
      <c r="J13" t="s">
        <v>173</v>
      </c>
      <c r="K13" t="s">
        <v>89</v>
      </c>
      <c r="N13" t="s">
        <v>88</v>
      </c>
      <c r="O13" t="s">
        <v>89</v>
      </c>
      <c r="P13" t="s">
        <v>89</v>
      </c>
      <c r="Q13" t="s">
        <v>89</v>
      </c>
      <c r="R13" s="19" t="s">
        <v>88</v>
      </c>
      <c r="S13" s="17">
        <v>2</v>
      </c>
      <c r="T13" s="17">
        <v>1</v>
      </c>
      <c r="U13" s="17">
        <v>3</v>
      </c>
      <c r="W13" s="17">
        <v>3</v>
      </c>
      <c r="X13" s="17">
        <v>3</v>
      </c>
      <c r="AB13" s="19">
        <v>1</v>
      </c>
      <c r="AF13" s="16">
        <v>0.666667</v>
      </c>
      <c r="AH13" t="s">
        <v>322</v>
      </c>
      <c r="AI13">
        <v>2</v>
      </c>
      <c r="AJ13" t="s">
        <v>195</v>
      </c>
      <c r="AK13" t="s">
        <v>340</v>
      </c>
      <c r="AL13" t="s">
        <v>354</v>
      </c>
      <c r="AM13" t="s">
        <v>19</v>
      </c>
      <c r="AN13" t="s">
        <v>51</v>
      </c>
    </row>
    <row r="14" spans="1:40">
      <c r="A14" t="s">
        <v>364</v>
      </c>
      <c r="B14" t="s">
        <v>51</v>
      </c>
      <c r="C14" t="s">
        <v>236</v>
      </c>
      <c r="D14" t="s">
        <v>59</v>
      </c>
      <c r="E14" t="s">
        <v>59</v>
      </c>
      <c r="F14" t="s">
        <v>166</v>
      </c>
      <c r="G14" t="s">
        <v>166</v>
      </c>
      <c r="H14" t="s">
        <v>85</v>
      </c>
      <c r="I14" t="s">
        <v>167</v>
      </c>
      <c r="J14" t="s">
        <v>171</v>
      </c>
      <c r="K14" t="s">
        <v>89</v>
      </c>
      <c r="N14" t="s">
        <v>88</v>
      </c>
      <c r="O14" t="s">
        <v>89</v>
      </c>
      <c r="P14" t="s">
        <v>89</v>
      </c>
      <c r="Q14" t="s">
        <v>89</v>
      </c>
      <c r="R14" s="19" t="s">
        <v>88</v>
      </c>
      <c r="S14" s="17">
        <v>4</v>
      </c>
      <c r="T14" s="17">
        <v>1</v>
      </c>
      <c r="U14" s="17">
        <v>9</v>
      </c>
      <c r="V14" s="17">
        <v>1</v>
      </c>
      <c r="Z14" s="19">
        <v>2</v>
      </c>
      <c r="AB14" s="19">
        <v>2</v>
      </c>
      <c r="AF14" s="16">
        <v>0.444444</v>
      </c>
      <c r="AH14" t="s">
        <v>322</v>
      </c>
      <c r="AI14">
        <v>2</v>
      </c>
      <c r="AJ14" t="s">
        <v>195</v>
      </c>
      <c r="AK14" t="s">
        <v>340</v>
      </c>
      <c r="AL14" t="s">
        <v>354</v>
      </c>
      <c r="AM14" t="s">
        <v>19</v>
      </c>
      <c r="AN14" t="s">
        <v>51</v>
      </c>
    </row>
    <row r="15" spans="1:40">
      <c r="A15" t="s">
        <v>364</v>
      </c>
      <c r="B15" t="s">
        <v>51</v>
      </c>
      <c r="C15" t="s">
        <v>236</v>
      </c>
      <c r="D15" t="s">
        <v>110</v>
      </c>
      <c r="E15" t="s">
        <v>110</v>
      </c>
      <c r="F15" t="s">
        <v>180</v>
      </c>
      <c r="G15" t="s">
        <v>180</v>
      </c>
      <c r="H15" t="s">
        <v>85</v>
      </c>
      <c r="I15" t="s">
        <v>181</v>
      </c>
      <c r="J15" t="s">
        <v>180</v>
      </c>
      <c r="K15" t="s">
        <v>89</v>
      </c>
      <c r="N15" t="s">
        <v>88</v>
      </c>
      <c r="O15" t="s">
        <v>89</v>
      </c>
      <c r="P15" t="s">
        <v>89</v>
      </c>
      <c r="Q15" t="s">
        <v>88</v>
      </c>
      <c r="R15" s="19" t="s">
        <v>88</v>
      </c>
      <c r="T15" s="17">
        <v>1</v>
      </c>
      <c r="Y15" s="17">
        <v>9</v>
      </c>
      <c r="AC15" s="19">
        <v>11</v>
      </c>
      <c r="AE15" s="19">
        <v>0.45</v>
      </c>
      <c r="AH15" t="s">
        <v>322</v>
      </c>
      <c r="AI15">
        <v>2</v>
      </c>
      <c r="AJ15" t="s">
        <v>195</v>
      </c>
      <c r="AK15" t="s">
        <v>340</v>
      </c>
      <c r="AL15" t="s">
        <v>354</v>
      </c>
      <c r="AM15" t="s">
        <v>19</v>
      </c>
      <c r="AN15" t="s">
        <v>51</v>
      </c>
    </row>
    <row r="16" spans="1:40">
      <c r="A16" t="s">
        <v>364</v>
      </c>
      <c r="B16" t="s">
        <v>51</v>
      </c>
      <c r="C16" t="s">
        <v>236</v>
      </c>
      <c r="D16" t="s">
        <v>111</v>
      </c>
      <c r="E16" t="s">
        <v>111</v>
      </c>
      <c r="F16" t="s">
        <v>180</v>
      </c>
      <c r="G16" t="s">
        <v>180</v>
      </c>
      <c r="H16" t="s">
        <v>86</v>
      </c>
      <c r="I16" t="s">
        <v>181</v>
      </c>
      <c r="J16" t="s">
        <v>180</v>
      </c>
      <c r="K16" t="s">
        <v>89</v>
      </c>
      <c r="N16" t="s">
        <v>88</v>
      </c>
      <c r="O16" t="s">
        <v>89</v>
      </c>
      <c r="P16" t="s">
        <v>88</v>
      </c>
      <c r="Q16" t="s">
        <v>89</v>
      </c>
      <c r="R16" s="19" t="s">
        <v>88</v>
      </c>
      <c r="Y16" s="17">
        <v>0</v>
      </c>
      <c r="AC16" s="19">
        <v>0</v>
      </c>
      <c r="AE16" s="19">
        <v>0</v>
      </c>
      <c r="AH16" t="s">
        <v>322</v>
      </c>
      <c r="AI16">
        <v>2</v>
      </c>
      <c r="AJ16" t="s">
        <v>195</v>
      </c>
      <c r="AK16" t="s">
        <v>340</v>
      </c>
      <c r="AL16" t="s">
        <v>354</v>
      </c>
      <c r="AM16" t="s">
        <v>19</v>
      </c>
      <c r="AN16" t="s">
        <v>51</v>
      </c>
    </row>
    <row r="17" spans="1:40">
      <c r="A17" t="s">
        <v>365</v>
      </c>
      <c r="B17" t="s">
        <v>32</v>
      </c>
      <c r="C17" t="s">
        <v>236</v>
      </c>
      <c r="D17" t="s">
        <v>63</v>
      </c>
      <c r="E17" t="s">
        <v>63</v>
      </c>
      <c r="F17" t="s">
        <v>166</v>
      </c>
      <c r="G17" t="s">
        <v>166</v>
      </c>
      <c r="H17" t="s">
        <v>85</v>
      </c>
      <c r="I17" t="s">
        <v>167</v>
      </c>
      <c r="J17" t="s">
        <v>171</v>
      </c>
      <c r="K17" t="s">
        <v>88</v>
      </c>
      <c r="L17" t="s">
        <v>175</v>
      </c>
      <c r="M17" t="s">
        <v>179</v>
      </c>
      <c r="N17" t="s">
        <v>88</v>
      </c>
      <c r="O17" t="s">
        <v>89</v>
      </c>
      <c r="P17" t="s">
        <v>89</v>
      </c>
      <c r="Q17" t="s">
        <v>89</v>
      </c>
      <c r="R17" s="19" t="s">
        <v>88</v>
      </c>
      <c r="S17" s="17">
        <v>1</v>
      </c>
      <c r="U17" s="17">
        <v>1</v>
      </c>
      <c r="V17" s="17">
        <v>1</v>
      </c>
      <c r="W17" s="17">
        <v>1</v>
      </c>
      <c r="X17" s="17">
        <v>1</v>
      </c>
      <c r="AE17" s="19">
        <v>3</v>
      </c>
      <c r="AG17" s="16">
        <v>1</v>
      </c>
      <c r="AH17" t="s">
        <v>323</v>
      </c>
      <c r="AI17">
        <v>3</v>
      </c>
      <c r="AJ17" t="s">
        <v>196</v>
      </c>
      <c r="AK17" t="s">
        <v>341</v>
      </c>
      <c r="AL17" t="s">
        <v>353</v>
      </c>
      <c r="AM17" t="s">
        <v>18</v>
      </c>
      <c r="AN17" t="s">
        <v>32</v>
      </c>
    </row>
    <row r="18" spans="1:40">
      <c r="A18" t="s">
        <v>365</v>
      </c>
      <c r="B18" t="s">
        <v>32</v>
      </c>
      <c r="C18" t="s">
        <v>236</v>
      </c>
      <c r="D18" t="s">
        <v>69</v>
      </c>
      <c r="E18" t="s">
        <v>69</v>
      </c>
      <c r="F18" t="s">
        <v>166</v>
      </c>
      <c r="G18" t="s">
        <v>166</v>
      </c>
      <c r="H18" t="s">
        <v>85</v>
      </c>
      <c r="I18" t="s">
        <v>168</v>
      </c>
      <c r="J18" t="s">
        <v>172</v>
      </c>
      <c r="K18" t="s">
        <v>89</v>
      </c>
      <c r="N18" t="s">
        <v>88</v>
      </c>
      <c r="O18" t="s">
        <v>89</v>
      </c>
      <c r="P18" t="s">
        <v>89</v>
      </c>
      <c r="Q18" t="s">
        <v>89</v>
      </c>
      <c r="R18" s="19" t="s">
        <v>88</v>
      </c>
      <c r="U18" s="17">
        <v>3</v>
      </c>
      <c r="V18" s="17">
        <v>1</v>
      </c>
      <c r="AA18" s="19">
        <v>2</v>
      </c>
      <c r="AD18" s="19">
        <v>1</v>
      </c>
      <c r="AG18" s="16">
        <v>0</v>
      </c>
      <c r="AH18" t="s">
        <v>323</v>
      </c>
      <c r="AI18">
        <v>3</v>
      </c>
      <c r="AJ18" t="s">
        <v>196</v>
      </c>
      <c r="AK18" t="s">
        <v>341</v>
      </c>
      <c r="AL18" t="s">
        <v>353</v>
      </c>
      <c r="AM18" t="s">
        <v>18</v>
      </c>
      <c r="AN18" t="s">
        <v>32</v>
      </c>
    </row>
    <row r="19" spans="1:40">
      <c r="A19" t="s">
        <v>365</v>
      </c>
      <c r="B19" t="s">
        <v>32</v>
      </c>
      <c r="C19" t="s">
        <v>236</v>
      </c>
      <c r="D19" t="s">
        <v>60</v>
      </c>
      <c r="E19" t="s">
        <v>60</v>
      </c>
      <c r="F19" t="s">
        <v>166</v>
      </c>
      <c r="G19" t="s">
        <v>166</v>
      </c>
      <c r="H19" t="s">
        <v>85</v>
      </c>
      <c r="I19" t="s">
        <v>167</v>
      </c>
      <c r="J19" t="s">
        <v>171</v>
      </c>
      <c r="K19" t="s">
        <v>88</v>
      </c>
      <c r="L19" t="s">
        <v>176</v>
      </c>
      <c r="M19" t="s">
        <v>138</v>
      </c>
      <c r="N19" t="s">
        <v>88</v>
      </c>
      <c r="O19" t="s">
        <v>89</v>
      </c>
      <c r="P19" t="s">
        <v>89</v>
      </c>
      <c r="Q19" t="s">
        <v>89</v>
      </c>
      <c r="R19" s="19" t="s">
        <v>88</v>
      </c>
      <c r="S19" s="17">
        <v>5</v>
      </c>
      <c r="T19" s="17">
        <v>1</v>
      </c>
      <c r="U19" s="17">
        <v>9</v>
      </c>
      <c r="V19" s="17">
        <v>4</v>
      </c>
      <c r="W19" s="17">
        <v>1</v>
      </c>
      <c r="Z19" s="19">
        <v>1</v>
      </c>
      <c r="AD19" s="19">
        <v>2</v>
      </c>
      <c r="AE19" s="19">
        <v>2</v>
      </c>
      <c r="AG19" s="16">
        <v>0.555556</v>
      </c>
      <c r="AH19" t="s">
        <v>323</v>
      </c>
      <c r="AI19">
        <v>3</v>
      </c>
      <c r="AJ19" t="s">
        <v>196</v>
      </c>
      <c r="AK19" t="s">
        <v>341</v>
      </c>
      <c r="AL19" t="s">
        <v>353</v>
      </c>
      <c r="AM19" t="s">
        <v>18</v>
      </c>
      <c r="AN19" t="s">
        <v>32</v>
      </c>
    </row>
    <row r="20" spans="1:40">
      <c r="A20" t="s">
        <v>365</v>
      </c>
      <c r="B20" t="s">
        <v>32</v>
      </c>
      <c r="C20" t="s">
        <v>236</v>
      </c>
      <c r="D20" t="s">
        <v>61</v>
      </c>
      <c r="E20" t="s">
        <v>61</v>
      </c>
      <c r="F20" t="s">
        <v>166</v>
      </c>
      <c r="G20" t="s">
        <v>166</v>
      </c>
      <c r="H20" t="s">
        <v>85</v>
      </c>
      <c r="I20" t="s">
        <v>169</v>
      </c>
      <c r="J20" t="s">
        <v>173</v>
      </c>
      <c r="K20" t="s">
        <v>88</v>
      </c>
      <c r="L20" t="s">
        <v>177</v>
      </c>
      <c r="M20" t="s">
        <v>138</v>
      </c>
      <c r="N20" t="s">
        <v>88</v>
      </c>
      <c r="O20" t="s">
        <v>89</v>
      </c>
      <c r="P20" t="s">
        <v>89</v>
      </c>
      <c r="Q20" t="s">
        <v>89</v>
      </c>
      <c r="R20" s="19" t="s">
        <v>88</v>
      </c>
      <c r="S20" s="17">
        <v>2</v>
      </c>
      <c r="T20" s="17">
        <v>1</v>
      </c>
      <c r="U20" s="17">
        <v>4</v>
      </c>
      <c r="V20" s="17">
        <v>1</v>
      </c>
      <c r="W20" s="17">
        <v>1</v>
      </c>
      <c r="Z20" s="19">
        <v>1</v>
      </c>
      <c r="AE20" s="19">
        <v>1</v>
      </c>
      <c r="AG20" s="16">
        <v>0.5</v>
      </c>
      <c r="AH20" t="s">
        <v>323</v>
      </c>
      <c r="AI20">
        <v>3</v>
      </c>
      <c r="AJ20" t="s">
        <v>196</v>
      </c>
      <c r="AK20" t="s">
        <v>341</v>
      </c>
      <c r="AL20" t="s">
        <v>353</v>
      </c>
      <c r="AM20" t="s">
        <v>18</v>
      </c>
      <c r="AN20" t="s">
        <v>32</v>
      </c>
    </row>
    <row r="21" spans="1:40">
      <c r="A21" t="s">
        <v>365</v>
      </c>
      <c r="B21" t="s">
        <v>32</v>
      </c>
      <c r="C21" t="s">
        <v>236</v>
      </c>
      <c r="D21" t="s">
        <v>68</v>
      </c>
      <c r="E21" t="s">
        <v>68</v>
      </c>
      <c r="F21" t="s">
        <v>166</v>
      </c>
      <c r="G21" t="s">
        <v>166</v>
      </c>
      <c r="H21" t="s">
        <v>85</v>
      </c>
      <c r="I21" t="s">
        <v>170</v>
      </c>
      <c r="J21" t="s">
        <v>174</v>
      </c>
      <c r="K21" t="s">
        <v>89</v>
      </c>
      <c r="N21" t="s">
        <v>88</v>
      </c>
      <c r="O21" t="s">
        <v>89</v>
      </c>
      <c r="P21" t="s">
        <v>89</v>
      </c>
      <c r="Q21" t="s">
        <v>89</v>
      </c>
      <c r="R21" s="19" t="s">
        <v>88</v>
      </c>
      <c r="S21" s="17">
        <v>1</v>
      </c>
      <c r="T21" s="17">
        <v>2</v>
      </c>
      <c r="U21" s="17">
        <v>4</v>
      </c>
      <c r="V21" s="17">
        <v>1</v>
      </c>
      <c r="X21" s="17">
        <v>1</v>
      </c>
      <c r="Z21" s="19">
        <v>2</v>
      </c>
      <c r="AE21" s="19">
        <v>1</v>
      </c>
      <c r="AG21" s="16">
        <v>0.25</v>
      </c>
      <c r="AH21" t="s">
        <v>323</v>
      </c>
      <c r="AI21">
        <v>3</v>
      </c>
      <c r="AJ21" t="s">
        <v>196</v>
      </c>
      <c r="AK21" t="s">
        <v>341</v>
      </c>
      <c r="AL21" t="s">
        <v>353</v>
      </c>
      <c r="AM21" t="s">
        <v>18</v>
      </c>
      <c r="AN21" t="s">
        <v>32</v>
      </c>
    </row>
    <row r="22" spans="1:40">
      <c r="A22" t="s">
        <v>365</v>
      </c>
      <c r="B22" t="s">
        <v>32</v>
      </c>
      <c r="C22" t="s">
        <v>236</v>
      </c>
      <c r="D22" t="s">
        <v>65</v>
      </c>
      <c r="E22" t="s">
        <v>65</v>
      </c>
      <c r="F22" t="s">
        <v>166</v>
      </c>
      <c r="G22" t="s">
        <v>166</v>
      </c>
      <c r="H22" t="s">
        <v>86</v>
      </c>
      <c r="I22" t="s">
        <v>170</v>
      </c>
      <c r="J22" t="s">
        <v>174</v>
      </c>
      <c r="K22" t="s">
        <v>89</v>
      </c>
      <c r="N22" t="s">
        <v>88</v>
      </c>
      <c r="O22" t="s">
        <v>89</v>
      </c>
      <c r="P22" t="s">
        <v>89</v>
      </c>
      <c r="Q22" t="s">
        <v>89</v>
      </c>
      <c r="R22" s="19" t="s">
        <v>88</v>
      </c>
      <c r="S22" s="17">
        <v>2</v>
      </c>
      <c r="T22" s="17">
        <v>2</v>
      </c>
      <c r="U22" s="17">
        <v>3</v>
      </c>
      <c r="V22" s="17">
        <v>3</v>
      </c>
      <c r="Z22" s="19">
        <v>2</v>
      </c>
      <c r="AB22" s="19">
        <v>1</v>
      </c>
      <c r="AG22" s="16">
        <v>0.666667</v>
      </c>
      <c r="AH22" t="s">
        <v>323</v>
      </c>
      <c r="AI22">
        <v>3</v>
      </c>
      <c r="AJ22" t="s">
        <v>196</v>
      </c>
      <c r="AK22" t="s">
        <v>341</v>
      </c>
      <c r="AL22" t="s">
        <v>353</v>
      </c>
      <c r="AM22" t="s">
        <v>18</v>
      </c>
      <c r="AN22" t="s">
        <v>32</v>
      </c>
    </row>
    <row r="23" spans="1:40">
      <c r="A23" t="s">
        <v>365</v>
      </c>
      <c r="B23" t="s">
        <v>32</v>
      </c>
      <c r="C23" t="s">
        <v>236</v>
      </c>
      <c r="D23" t="s">
        <v>64</v>
      </c>
      <c r="E23" t="s">
        <v>64</v>
      </c>
      <c r="F23" t="s">
        <v>166</v>
      </c>
      <c r="G23" t="s">
        <v>166</v>
      </c>
      <c r="H23" t="s">
        <v>85</v>
      </c>
      <c r="I23" t="s">
        <v>168</v>
      </c>
      <c r="J23" t="s">
        <v>172</v>
      </c>
      <c r="K23" t="s">
        <v>88</v>
      </c>
      <c r="L23" t="s">
        <v>178</v>
      </c>
      <c r="M23" t="s">
        <v>138</v>
      </c>
      <c r="N23" t="s">
        <v>88</v>
      </c>
      <c r="O23" t="s">
        <v>89</v>
      </c>
      <c r="P23" t="s">
        <v>89</v>
      </c>
      <c r="Q23" t="s">
        <v>89</v>
      </c>
      <c r="R23" s="19" t="s">
        <v>88</v>
      </c>
      <c r="U23" s="17">
        <v>2</v>
      </c>
      <c r="V23" s="17">
        <v>1</v>
      </c>
      <c r="W23" s="17">
        <v>1</v>
      </c>
      <c r="Z23" s="19">
        <v>2</v>
      </c>
      <c r="AG23" s="16">
        <v>0</v>
      </c>
      <c r="AH23" t="s">
        <v>323</v>
      </c>
      <c r="AI23">
        <v>3</v>
      </c>
      <c r="AJ23" t="s">
        <v>196</v>
      </c>
      <c r="AK23" t="s">
        <v>341</v>
      </c>
      <c r="AL23" t="s">
        <v>353</v>
      </c>
      <c r="AM23" t="s">
        <v>18</v>
      </c>
      <c r="AN23" t="s">
        <v>32</v>
      </c>
    </row>
    <row r="24" spans="1:40">
      <c r="A24" t="s">
        <v>365</v>
      </c>
      <c r="B24" t="s">
        <v>32</v>
      </c>
      <c r="C24" t="s">
        <v>236</v>
      </c>
      <c r="D24" t="s">
        <v>129</v>
      </c>
      <c r="E24" t="s">
        <v>129</v>
      </c>
      <c r="F24" t="s">
        <v>166</v>
      </c>
      <c r="G24" t="s">
        <v>166</v>
      </c>
      <c r="H24" t="s">
        <v>85</v>
      </c>
      <c r="I24" t="s">
        <v>170</v>
      </c>
      <c r="J24" t="s">
        <v>174</v>
      </c>
      <c r="K24" t="s">
        <v>89</v>
      </c>
      <c r="N24" t="s">
        <v>88</v>
      </c>
      <c r="O24" t="s">
        <v>89</v>
      </c>
      <c r="P24" t="s">
        <v>89</v>
      </c>
      <c r="Q24" t="s">
        <v>89</v>
      </c>
      <c r="R24" s="19" t="s">
        <v>88</v>
      </c>
      <c r="U24" s="17">
        <v>2</v>
      </c>
      <c r="AA24" s="19">
        <v>1</v>
      </c>
      <c r="AG24" s="16">
        <v>0</v>
      </c>
      <c r="AH24" t="s">
        <v>323</v>
      </c>
      <c r="AI24">
        <v>3</v>
      </c>
      <c r="AJ24" t="s">
        <v>196</v>
      </c>
      <c r="AK24" t="s">
        <v>341</v>
      </c>
      <c r="AL24" t="s">
        <v>353</v>
      </c>
      <c r="AM24" t="s">
        <v>18</v>
      </c>
      <c r="AN24" t="s">
        <v>32</v>
      </c>
    </row>
    <row r="25" spans="1:40">
      <c r="A25" t="s">
        <v>365</v>
      </c>
      <c r="B25" t="s">
        <v>32</v>
      </c>
      <c r="C25" t="s">
        <v>236</v>
      </c>
      <c r="D25" t="s">
        <v>66</v>
      </c>
      <c r="E25" t="s">
        <v>66</v>
      </c>
      <c r="F25" t="s">
        <v>166</v>
      </c>
      <c r="G25" t="s">
        <v>166</v>
      </c>
      <c r="H25" t="s">
        <v>85</v>
      </c>
      <c r="I25" t="s">
        <v>167</v>
      </c>
      <c r="J25" t="s">
        <v>171</v>
      </c>
      <c r="K25" t="s">
        <v>89</v>
      </c>
      <c r="N25" t="s">
        <v>88</v>
      </c>
      <c r="O25" t="s">
        <v>89</v>
      </c>
      <c r="P25" t="s">
        <v>89</v>
      </c>
      <c r="Q25" t="s">
        <v>89</v>
      </c>
      <c r="R25" s="19" t="s">
        <v>88</v>
      </c>
      <c r="Z25" s="19">
        <v>2</v>
      </c>
      <c r="AG25" s="16">
        <v>0</v>
      </c>
      <c r="AH25" t="s">
        <v>323</v>
      </c>
      <c r="AI25">
        <v>3</v>
      </c>
      <c r="AJ25" t="s">
        <v>196</v>
      </c>
      <c r="AK25" t="s">
        <v>341</v>
      </c>
      <c r="AL25" t="s">
        <v>353</v>
      </c>
      <c r="AM25" t="s">
        <v>18</v>
      </c>
      <c r="AN25" t="s">
        <v>32</v>
      </c>
    </row>
    <row r="26" spans="1:40">
      <c r="A26" t="s">
        <v>365</v>
      </c>
      <c r="B26" t="s">
        <v>32</v>
      </c>
      <c r="C26" t="s">
        <v>236</v>
      </c>
      <c r="D26" t="s">
        <v>70</v>
      </c>
      <c r="E26" t="s">
        <v>70</v>
      </c>
      <c r="F26" t="s">
        <v>166</v>
      </c>
      <c r="G26" t="s">
        <v>166</v>
      </c>
      <c r="H26" t="s">
        <v>85</v>
      </c>
      <c r="I26" t="s">
        <v>170</v>
      </c>
      <c r="J26" t="s">
        <v>174</v>
      </c>
      <c r="K26" t="s">
        <v>89</v>
      </c>
      <c r="N26" t="s">
        <v>88</v>
      </c>
      <c r="O26" t="s">
        <v>89</v>
      </c>
      <c r="P26" t="s">
        <v>89</v>
      </c>
      <c r="Q26" t="s">
        <v>89</v>
      </c>
      <c r="R26" s="19" t="s">
        <v>88</v>
      </c>
      <c r="T26" s="17">
        <v>2</v>
      </c>
      <c r="U26" s="17">
        <v>1</v>
      </c>
      <c r="AG26" s="16">
        <v>0</v>
      </c>
      <c r="AH26" t="s">
        <v>323</v>
      </c>
      <c r="AI26">
        <v>3</v>
      </c>
      <c r="AJ26" t="s">
        <v>196</v>
      </c>
      <c r="AK26" t="s">
        <v>341</v>
      </c>
      <c r="AL26" t="s">
        <v>353</v>
      </c>
      <c r="AM26" t="s">
        <v>18</v>
      </c>
      <c r="AN26" t="s">
        <v>32</v>
      </c>
    </row>
    <row r="27" spans="1:40">
      <c r="A27" t="s">
        <v>365</v>
      </c>
      <c r="B27" t="s">
        <v>32</v>
      </c>
      <c r="C27" t="s">
        <v>236</v>
      </c>
      <c r="D27" t="s">
        <v>62</v>
      </c>
      <c r="E27" t="s">
        <v>62</v>
      </c>
      <c r="F27" t="s">
        <v>166</v>
      </c>
      <c r="G27" t="s">
        <v>166</v>
      </c>
      <c r="H27" t="s">
        <v>85</v>
      </c>
      <c r="I27" t="s">
        <v>169</v>
      </c>
      <c r="J27" t="s">
        <v>173</v>
      </c>
      <c r="K27" t="s">
        <v>89</v>
      </c>
      <c r="N27" t="s">
        <v>88</v>
      </c>
      <c r="O27" t="s">
        <v>89</v>
      </c>
      <c r="P27" t="s">
        <v>89</v>
      </c>
      <c r="Q27" t="s">
        <v>89</v>
      </c>
      <c r="R27" s="19" t="s">
        <v>88</v>
      </c>
      <c r="S27" s="17">
        <v>1</v>
      </c>
      <c r="U27" s="17">
        <v>2</v>
      </c>
      <c r="W27" s="17">
        <v>1</v>
      </c>
      <c r="Z27" s="19">
        <v>1</v>
      </c>
      <c r="AD27" s="19">
        <v>1</v>
      </c>
      <c r="AG27" s="16">
        <v>0.5</v>
      </c>
      <c r="AH27" t="s">
        <v>323</v>
      </c>
      <c r="AI27">
        <v>3</v>
      </c>
      <c r="AJ27" t="s">
        <v>196</v>
      </c>
      <c r="AK27" t="s">
        <v>341</v>
      </c>
      <c r="AL27" t="s">
        <v>353</v>
      </c>
      <c r="AM27" t="s">
        <v>18</v>
      </c>
      <c r="AN27" t="s">
        <v>32</v>
      </c>
    </row>
    <row r="28" spans="1:40">
      <c r="A28" t="s">
        <v>365</v>
      </c>
      <c r="B28" t="s">
        <v>32</v>
      </c>
      <c r="C28" t="s">
        <v>236</v>
      </c>
      <c r="D28" t="s">
        <v>59</v>
      </c>
      <c r="E28" t="s">
        <v>59</v>
      </c>
      <c r="F28" t="s">
        <v>166</v>
      </c>
      <c r="G28" t="s">
        <v>166</v>
      </c>
      <c r="H28" t="s">
        <v>85</v>
      </c>
      <c r="I28" t="s">
        <v>167</v>
      </c>
      <c r="J28" t="s">
        <v>171</v>
      </c>
      <c r="K28" t="s">
        <v>89</v>
      </c>
      <c r="N28" t="s">
        <v>88</v>
      </c>
      <c r="O28" t="s">
        <v>89</v>
      </c>
      <c r="P28" t="s">
        <v>89</v>
      </c>
      <c r="Q28" t="s">
        <v>89</v>
      </c>
      <c r="R28" s="19" t="s">
        <v>88</v>
      </c>
      <c r="S28" s="17">
        <v>3</v>
      </c>
      <c r="T28" s="17">
        <v>1</v>
      </c>
      <c r="U28" s="17">
        <v>5</v>
      </c>
      <c r="Z28" s="19">
        <v>1</v>
      </c>
      <c r="AA28" s="19">
        <v>1</v>
      </c>
      <c r="AD28" s="19">
        <v>2</v>
      </c>
      <c r="AE28" s="19">
        <v>2</v>
      </c>
      <c r="AG28" s="16">
        <v>0.6</v>
      </c>
      <c r="AH28" t="s">
        <v>323</v>
      </c>
      <c r="AI28">
        <v>3</v>
      </c>
      <c r="AJ28" t="s">
        <v>196</v>
      </c>
      <c r="AK28" t="s">
        <v>341</v>
      </c>
      <c r="AL28" t="s">
        <v>353</v>
      </c>
      <c r="AM28" t="s">
        <v>18</v>
      </c>
      <c r="AN28" t="s">
        <v>32</v>
      </c>
    </row>
    <row r="29" spans="1:40">
      <c r="A29" t="s">
        <v>365</v>
      </c>
      <c r="B29" t="s">
        <v>32</v>
      </c>
      <c r="C29" t="s">
        <v>236</v>
      </c>
      <c r="D29" t="s">
        <v>110</v>
      </c>
      <c r="E29" t="s">
        <v>110</v>
      </c>
      <c r="F29" t="s">
        <v>180</v>
      </c>
      <c r="G29" t="s">
        <v>180</v>
      </c>
      <c r="H29" t="s">
        <v>85</v>
      </c>
      <c r="I29" t="s">
        <v>181</v>
      </c>
      <c r="J29" t="s">
        <v>180</v>
      </c>
      <c r="K29" t="s">
        <v>89</v>
      </c>
      <c r="N29" t="s">
        <v>88</v>
      </c>
      <c r="O29" t="s">
        <v>89</v>
      </c>
      <c r="P29" t="s">
        <v>89</v>
      </c>
      <c r="Q29" t="s">
        <v>88</v>
      </c>
      <c r="R29" s="19" t="s">
        <v>88</v>
      </c>
      <c r="T29" s="17">
        <v>1</v>
      </c>
      <c r="Y29" s="17">
        <v>8</v>
      </c>
      <c r="AC29" s="19">
        <v>10</v>
      </c>
      <c r="AF29" s="16">
        <v>0.444444</v>
      </c>
      <c r="AH29" t="s">
        <v>323</v>
      </c>
      <c r="AI29">
        <v>3</v>
      </c>
      <c r="AJ29" t="s">
        <v>196</v>
      </c>
      <c r="AK29" t="s">
        <v>341</v>
      </c>
      <c r="AL29" t="s">
        <v>353</v>
      </c>
      <c r="AM29" t="s">
        <v>18</v>
      </c>
      <c r="AN29" t="s">
        <v>32</v>
      </c>
    </row>
    <row r="30" spans="1:40">
      <c r="A30" t="s">
        <v>365</v>
      </c>
      <c r="B30" t="s">
        <v>32</v>
      </c>
      <c r="C30" t="s">
        <v>236</v>
      </c>
      <c r="D30" t="s">
        <v>111</v>
      </c>
      <c r="E30" t="s">
        <v>111</v>
      </c>
      <c r="F30" t="s">
        <v>180</v>
      </c>
      <c r="G30" t="s">
        <v>180</v>
      </c>
      <c r="H30" t="s">
        <v>86</v>
      </c>
      <c r="I30" t="s">
        <v>181</v>
      </c>
      <c r="J30" t="s">
        <v>180</v>
      </c>
      <c r="K30" t="s">
        <v>89</v>
      </c>
      <c r="N30" t="s">
        <v>88</v>
      </c>
      <c r="O30" t="s">
        <v>89</v>
      </c>
      <c r="P30" t="s">
        <v>88</v>
      </c>
      <c r="Q30" t="s">
        <v>89</v>
      </c>
      <c r="R30" s="19" t="s">
        <v>88</v>
      </c>
      <c r="AF30" s="16">
        <v>0</v>
      </c>
      <c r="AH30" t="s">
        <v>323</v>
      </c>
      <c r="AI30">
        <v>3</v>
      </c>
      <c r="AJ30" t="s">
        <v>196</v>
      </c>
      <c r="AK30" t="s">
        <v>341</v>
      </c>
      <c r="AL30" t="s">
        <v>353</v>
      </c>
      <c r="AM30" t="s">
        <v>18</v>
      </c>
      <c r="AN30" t="s">
        <v>32</v>
      </c>
    </row>
    <row r="31" spans="1:40">
      <c r="A31" t="s">
        <v>366</v>
      </c>
      <c r="B31" t="s">
        <v>49</v>
      </c>
      <c r="C31" t="s">
        <v>236</v>
      </c>
      <c r="D31" t="s">
        <v>63</v>
      </c>
      <c r="E31" t="s">
        <v>63</v>
      </c>
      <c r="F31" t="s">
        <v>166</v>
      </c>
      <c r="G31" t="s">
        <v>166</v>
      </c>
      <c r="H31" t="s">
        <v>85</v>
      </c>
      <c r="I31" t="s">
        <v>167</v>
      </c>
      <c r="J31" t="s">
        <v>171</v>
      </c>
      <c r="K31" t="s">
        <v>88</v>
      </c>
      <c r="L31" t="s">
        <v>175</v>
      </c>
      <c r="M31" t="s">
        <v>179</v>
      </c>
      <c r="N31" t="s">
        <v>88</v>
      </c>
      <c r="O31" t="s">
        <v>89</v>
      </c>
      <c r="P31" t="s">
        <v>89</v>
      </c>
      <c r="Q31" t="s">
        <v>89</v>
      </c>
      <c r="R31" s="19" t="s">
        <v>88</v>
      </c>
      <c r="V31" s="17">
        <v>2</v>
      </c>
      <c r="Z31" s="19">
        <v>1</v>
      </c>
      <c r="AB31" s="19">
        <v>2</v>
      </c>
      <c r="AE31" s="19">
        <v>1</v>
      </c>
      <c r="AG31" s="16">
        <v>0</v>
      </c>
      <c r="AH31" t="s">
        <v>324</v>
      </c>
      <c r="AI31">
        <v>4</v>
      </c>
      <c r="AJ31" t="s">
        <v>197</v>
      </c>
      <c r="AK31" t="s">
        <v>339</v>
      </c>
      <c r="AL31" t="s">
        <v>355</v>
      </c>
      <c r="AM31" t="s">
        <v>19</v>
      </c>
      <c r="AN31" t="s">
        <v>49</v>
      </c>
    </row>
    <row r="32" spans="1:40">
      <c r="A32" t="s">
        <v>366</v>
      </c>
      <c r="B32" t="s">
        <v>49</v>
      </c>
      <c r="C32" t="s">
        <v>236</v>
      </c>
      <c r="D32" t="s">
        <v>69</v>
      </c>
      <c r="E32" t="s">
        <v>69</v>
      </c>
      <c r="F32" t="s">
        <v>166</v>
      </c>
      <c r="G32" t="s">
        <v>166</v>
      </c>
      <c r="H32" t="s">
        <v>85</v>
      </c>
      <c r="I32" t="s">
        <v>168</v>
      </c>
      <c r="J32" t="s">
        <v>172</v>
      </c>
      <c r="K32" t="s">
        <v>89</v>
      </c>
      <c r="N32" t="s">
        <v>88</v>
      </c>
      <c r="O32" t="s">
        <v>89</v>
      </c>
      <c r="P32" t="s">
        <v>89</v>
      </c>
      <c r="Q32" t="s">
        <v>89</v>
      </c>
      <c r="R32" s="19" t="s">
        <v>88</v>
      </c>
      <c r="S32" s="17">
        <v>1</v>
      </c>
      <c r="T32" s="17">
        <v>2</v>
      </c>
      <c r="U32" s="17">
        <v>1</v>
      </c>
      <c r="Z32" s="19">
        <v>2</v>
      </c>
      <c r="AB32" s="19">
        <v>1</v>
      </c>
      <c r="AG32" s="16">
        <v>1</v>
      </c>
      <c r="AH32" t="s">
        <v>324</v>
      </c>
      <c r="AI32">
        <v>4</v>
      </c>
      <c r="AJ32" t="s">
        <v>197</v>
      </c>
      <c r="AK32" t="s">
        <v>339</v>
      </c>
      <c r="AL32" t="s">
        <v>355</v>
      </c>
      <c r="AM32" t="s">
        <v>19</v>
      </c>
      <c r="AN32" t="s">
        <v>49</v>
      </c>
    </row>
    <row r="33" spans="1:40">
      <c r="A33" t="s">
        <v>366</v>
      </c>
      <c r="B33" t="s">
        <v>49</v>
      </c>
      <c r="C33" t="s">
        <v>236</v>
      </c>
      <c r="D33" t="s">
        <v>60</v>
      </c>
      <c r="E33" t="s">
        <v>60</v>
      </c>
      <c r="F33" t="s">
        <v>166</v>
      </c>
      <c r="G33" t="s">
        <v>166</v>
      </c>
      <c r="H33" t="s">
        <v>85</v>
      </c>
      <c r="I33" t="s">
        <v>167</v>
      </c>
      <c r="J33" t="s">
        <v>171</v>
      </c>
      <c r="K33" t="s">
        <v>88</v>
      </c>
      <c r="L33" t="s">
        <v>176</v>
      </c>
      <c r="M33" t="s">
        <v>138</v>
      </c>
      <c r="N33" t="s">
        <v>88</v>
      </c>
      <c r="O33" t="s">
        <v>89</v>
      </c>
      <c r="P33" t="s">
        <v>89</v>
      </c>
      <c r="Q33" t="s">
        <v>89</v>
      </c>
      <c r="R33" s="19" t="s">
        <v>88</v>
      </c>
      <c r="S33" s="17">
        <v>1</v>
      </c>
      <c r="T33" s="17">
        <v>1</v>
      </c>
      <c r="U33" s="17">
        <v>4</v>
      </c>
      <c r="V33" s="17">
        <v>1</v>
      </c>
      <c r="W33" s="17">
        <v>2</v>
      </c>
      <c r="X33" s="17">
        <v>1</v>
      </c>
      <c r="AD33" s="19">
        <v>3</v>
      </c>
      <c r="AG33" s="16">
        <v>0.25</v>
      </c>
      <c r="AH33" t="s">
        <v>324</v>
      </c>
      <c r="AI33">
        <v>4</v>
      </c>
      <c r="AJ33" t="s">
        <v>197</v>
      </c>
      <c r="AK33" t="s">
        <v>339</v>
      </c>
      <c r="AL33" t="s">
        <v>355</v>
      </c>
      <c r="AM33" t="s">
        <v>19</v>
      </c>
      <c r="AN33" t="s">
        <v>49</v>
      </c>
    </row>
    <row r="34" spans="1:40">
      <c r="A34" t="s">
        <v>366</v>
      </c>
      <c r="B34" t="s">
        <v>49</v>
      </c>
      <c r="C34" t="s">
        <v>236</v>
      </c>
      <c r="D34" t="s">
        <v>61</v>
      </c>
      <c r="E34" t="s">
        <v>61</v>
      </c>
      <c r="F34" t="s">
        <v>166</v>
      </c>
      <c r="G34" t="s">
        <v>166</v>
      </c>
      <c r="H34" t="s">
        <v>85</v>
      </c>
      <c r="I34" t="s">
        <v>169</v>
      </c>
      <c r="J34" t="s">
        <v>173</v>
      </c>
      <c r="K34" t="s">
        <v>88</v>
      </c>
      <c r="L34" t="s">
        <v>177</v>
      </c>
      <c r="M34" t="s">
        <v>138</v>
      </c>
      <c r="N34" t="s">
        <v>88</v>
      </c>
      <c r="O34" t="s">
        <v>89</v>
      </c>
      <c r="P34" t="s">
        <v>89</v>
      </c>
      <c r="Q34" t="s">
        <v>89</v>
      </c>
      <c r="R34" s="19" t="s">
        <v>88</v>
      </c>
      <c r="W34" s="17">
        <v>1</v>
      </c>
      <c r="X34" s="17">
        <v>3</v>
      </c>
      <c r="AB34" s="19">
        <v>1</v>
      </c>
      <c r="AD34" s="19">
        <v>2</v>
      </c>
      <c r="AE34" s="19">
        <v>1</v>
      </c>
      <c r="AG34" s="16">
        <v>0</v>
      </c>
      <c r="AH34" t="s">
        <v>324</v>
      </c>
      <c r="AI34">
        <v>4</v>
      </c>
      <c r="AJ34" t="s">
        <v>197</v>
      </c>
      <c r="AK34" t="s">
        <v>339</v>
      </c>
      <c r="AL34" t="s">
        <v>355</v>
      </c>
      <c r="AM34" t="s">
        <v>19</v>
      </c>
      <c r="AN34" t="s">
        <v>49</v>
      </c>
    </row>
    <row r="35" spans="1:40">
      <c r="A35" t="s">
        <v>366</v>
      </c>
      <c r="B35" t="s">
        <v>49</v>
      </c>
      <c r="C35" t="s">
        <v>236</v>
      </c>
      <c r="D35" t="s">
        <v>68</v>
      </c>
      <c r="E35" t="s">
        <v>68</v>
      </c>
      <c r="F35" t="s">
        <v>166</v>
      </c>
      <c r="G35" t="s">
        <v>166</v>
      </c>
      <c r="H35" t="s">
        <v>85</v>
      </c>
      <c r="I35" t="s">
        <v>170</v>
      </c>
      <c r="J35" t="s">
        <v>174</v>
      </c>
      <c r="K35" t="s">
        <v>89</v>
      </c>
      <c r="N35" t="s">
        <v>88</v>
      </c>
      <c r="O35" t="s">
        <v>89</v>
      </c>
      <c r="P35" t="s">
        <v>89</v>
      </c>
      <c r="Q35" t="s">
        <v>89</v>
      </c>
      <c r="R35" s="19" t="s">
        <v>88</v>
      </c>
      <c r="T35" s="17">
        <v>1</v>
      </c>
      <c r="U35" s="17">
        <v>2</v>
      </c>
      <c r="AG35" s="16">
        <v>0</v>
      </c>
      <c r="AH35" t="s">
        <v>324</v>
      </c>
      <c r="AI35">
        <v>4</v>
      </c>
      <c r="AJ35" t="s">
        <v>197</v>
      </c>
      <c r="AK35" t="s">
        <v>339</v>
      </c>
      <c r="AL35" t="s">
        <v>355</v>
      </c>
      <c r="AM35" t="s">
        <v>19</v>
      </c>
      <c r="AN35" t="s">
        <v>49</v>
      </c>
    </row>
    <row r="36" spans="1:40">
      <c r="A36" t="s">
        <v>366</v>
      </c>
      <c r="B36" t="s">
        <v>49</v>
      </c>
      <c r="C36" t="s">
        <v>236</v>
      </c>
      <c r="D36" t="s">
        <v>65</v>
      </c>
      <c r="E36" t="s">
        <v>65</v>
      </c>
      <c r="F36" t="s">
        <v>166</v>
      </c>
      <c r="G36" t="s">
        <v>166</v>
      </c>
      <c r="H36" t="s">
        <v>86</v>
      </c>
      <c r="I36" t="s">
        <v>170</v>
      </c>
      <c r="J36" t="s">
        <v>174</v>
      </c>
      <c r="K36" t="s">
        <v>89</v>
      </c>
      <c r="N36" t="s">
        <v>88</v>
      </c>
      <c r="O36" t="s">
        <v>89</v>
      </c>
      <c r="P36" t="s">
        <v>89</v>
      </c>
      <c r="Q36" t="s">
        <v>89</v>
      </c>
      <c r="R36" s="19" t="s">
        <v>88</v>
      </c>
      <c r="U36" s="17">
        <v>3</v>
      </c>
      <c r="V36" s="17">
        <v>2</v>
      </c>
      <c r="AG36" s="16">
        <v>0</v>
      </c>
      <c r="AH36" t="s">
        <v>324</v>
      </c>
      <c r="AI36">
        <v>4</v>
      </c>
      <c r="AJ36" t="s">
        <v>197</v>
      </c>
      <c r="AK36" t="s">
        <v>339</v>
      </c>
      <c r="AL36" t="s">
        <v>355</v>
      </c>
      <c r="AM36" t="s">
        <v>19</v>
      </c>
      <c r="AN36" t="s">
        <v>49</v>
      </c>
    </row>
    <row r="37" spans="1:40">
      <c r="A37" t="s">
        <v>366</v>
      </c>
      <c r="B37" t="s">
        <v>49</v>
      </c>
      <c r="C37" t="s">
        <v>236</v>
      </c>
      <c r="D37" t="s">
        <v>64</v>
      </c>
      <c r="E37" t="s">
        <v>64</v>
      </c>
      <c r="F37" t="s">
        <v>166</v>
      </c>
      <c r="G37" t="s">
        <v>166</v>
      </c>
      <c r="H37" t="s">
        <v>85</v>
      </c>
      <c r="I37" t="s">
        <v>168</v>
      </c>
      <c r="J37" t="s">
        <v>172</v>
      </c>
      <c r="K37" t="s">
        <v>88</v>
      </c>
      <c r="L37" t="s">
        <v>178</v>
      </c>
      <c r="M37" t="s">
        <v>138</v>
      </c>
      <c r="N37" t="s">
        <v>88</v>
      </c>
      <c r="O37" t="s">
        <v>89</v>
      </c>
      <c r="P37" t="s">
        <v>89</v>
      </c>
      <c r="Q37" t="s">
        <v>89</v>
      </c>
      <c r="R37" s="19" t="s">
        <v>88</v>
      </c>
      <c r="S37" s="17">
        <v>1</v>
      </c>
      <c r="U37" s="17">
        <v>3</v>
      </c>
      <c r="V37" s="17">
        <v>2</v>
      </c>
      <c r="AG37" s="16">
        <v>0.333333</v>
      </c>
      <c r="AH37" t="s">
        <v>324</v>
      </c>
      <c r="AI37">
        <v>4</v>
      </c>
      <c r="AJ37" t="s">
        <v>197</v>
      </c>
      <c r="AK37" t="s">
        <v>339</v>
      </c>
      <c r="AL37" t="s">
        <v>355</v>
      </c>
      <c r="AM37" t="s">
        <v>19</v>
      </c>
      <c r="AN37" t="s">
        <v>49</v>
      </c>
    </row>
    <row r="38" spans="1:40">
      <c r="A38" t="s">
        <v>366</v>
      </c>
      <c r="B38" t="s">
        <v>49</v>
      </c>
      <c r="C38" t="s">
        <v>236</v>
      </c>
      <c r="D38" t="s">
        <v>71</v>
      </c>
      <c r="E38" t="s">
        <v>71</v>
      </c>
      <c r="F38" t="s">
        <v>166</v>
      </c>
      <c r="G38" t="s">
        <v>166</v>
      </c>
      <c r="H38" t="s">
        <v>85</v>
      </c>
      <c r="I38" t="s">
        <v>170</v>
      </c>
      <c r="J38" t="s">
        <v>174</v>
      </c>
      <c r="K38" t="s">
        <v>89</v>
      </c>
      <c r="N38" t="s">
        <v>88</v>
      </c>
      <c r="O38" t="s">
        <v>89</v>
      </c>
      <c r="P38" t="s">
        <v>89</v>
      </c>
      <c r="Q38" t="s">
        <v>89</v>
      </c>
      <c r="R38" s="19" t="s">
        <v>88</v>
      </c>
      <c r="T38" s="17">
        <v>1</v>
      </c>
      <c r="U38" s="17">
        <v>3</v>
      </c>
      <c r="X38" s="17">
        <v>1</v>
      </c>
      <c r="AB38" s="19">
        <v>2</v>
      </c>
      <c r="AE38" s="19">
        <v>1</v>
      </c>
      <c r="AG38" s="16">
        <v>0</v>
      </c>
      <c r="AH38" t="s">
        <v>324</v>
      </c>
      <c r="AI38">
        <v>4</v>
      </c>
      <c r="AJ38" t="s">
        <v>197</v>
      </c>
      <c r="AK38" t="s">
        <v>339</v>
      </c>
      <c r="AL38" t="s">
        <v>355</v>
      </c>
      <c r="AM38" t="s">
        <v>19</v>
      </c>
      <c r="AN38" t="s">
        <v>49</v>
      </c>
    </row>
    <row r="39" spans="1:40">
      <c r="A39" t="s">
        <v>366</v>
      </c>
      <c r="B39" t="s">
        <v>49</v>
      </c>
      <c r="C39" t="s">
        <v>236</v>
      </c>
      <c r="D39" t="s">
        <v>129</v>
      </c>
      <c r="E39" t="s">
        <v>129</v>
      </c>
      <c r="F39" t="s">
        <v>166</v>
      </c>
      <c r="G39" t="s">
        <v>166</v>
      </c>
      <c r="H39" t="s">
        <v>85</v>
      </c>
      <c r="I39" t="s">
        <v>170</v>
      </c>
      <c r="J39" t="s">
        <v>174</v>
      </c>
      <c r="K39" t="s">
        <v>89</v>
      </c>
      <c r="N39" t="s">
        <v>88</v>
      </c>
      <c r="O39" t="s">
        <v>89</v>
      </c>
      <c r="P39" t="s">
        <v>88</v>
      </c>
      <c r="Q39" t="s">
        <v>89</v>
      </c>
      <c r="R39" s="19" t="s">
        <v>88</v>
      </c>
      <c r="AG39" s="16">
        <v>0</v>
      </c>
      <c r="AH39" t="s">
        <v>324</v>
      </c>
      <c r="AI39">
        <v>4</v>
      </c>
      <c r="AJ39" t="s">
        <v>197</v>
      </c>
      <c r="AK39" t="s">
        <v>339</v>
      </c>
      <c r="AL39" t="s">
        <v>355</v>
      </c>
      <c r="AM39" t="s">
        <v>19</v>
      </c>
      <c r="AN39" t="s">
        <v>49</v>
      </c>
    </row>
    <row r="40" spans="1:40">
      <c r="A40" t="s">
        <v>366</v>
      </c>
      <c r="B40" t="s">
        <v>49</v>
      </c>
      <c r="C40" t="s">
        <v>236</v>
      </c>
      <c r="D40" t="s">
        <v>66</v>
      </c>
      <c r="E40" t="s">
        <v>66</v>
      </c>
      <c r="F40" t="s">
        <v>166</v>
      </c>
      <c r="G40" t="s">
        <v>166</v>
      </c>
      <c r="H40" t="s">
        <v>85</v>
      </c>
      <c r="I40" t="s">
        <v>167</v>
      </c>
      <c r="J40" t="s">
        <v>171</v>
      </c>
      <c r="K40" t="s">
        <v>89</v>
      </c>
      <c r="N40" t="s">
        <v>88</v>
      </c>
      <c r="O40" t="s">
        <v>89</v>
      </c>
      <c r="P40" t="s">
        <v>89</v>
      </c>
      <c r="Q40" t="s">
        <v>89</v>
      </c>
      <c r="R40" s="19" t="s">
        <v>88</v>
      </c>
      <c r="S40" s="17">
        <v>1</v>
      </c>
      <c r="U40" s="17">
        <v>1</v>
      </c>
      <c r="Z40" s="19">
        <v>1</v>
      </c>
      <c r="AE40" s="19">
        <v>1</v>
      </c>
      <c r="AG40" s="16">
        <v>1</v>
      </c>
      <c r="AH40" t="s">
        <v>324</v>
      </c>
      <c r="AI40">
        <v>4</v>
      </c>
      <c r="AJ40" t="s">
        <v>197</v>
      </c>
      <c r="AK40" t="s">
        <v>339</v>
      </c>
      <c r="AL40" t="s">
        <v>355</v>
      </c>
      <c r="AM40" t="s">
        <v>19</v>
      </c>
      <c r="AN40" t="s">
        <v>49</v>
      </c>
    </row>
    <row r="41" spans="1:40">
      <c r="A41" t="s">
        <v>366</v>
      </c>
      <c r="B41" t="s">
        <v>49</v>
      </c>
      <c r="C41" t="s">
        <v>236</v>
      </c>
      <c r="D41" t="s">
        <v>70</v>
      </c>
      <c r="E41" t="s">
        <v>70</v>
      </c>
      <c r="F41" t="s">
        <v>166</v>
      </c>
      <c r="G41" t="s">
        <v>166</v>
      </c>
      <c r="H41" t="s">
        <v>85</v>
      </c>
      <c r="I41" t="s">
        <v>170</v>
      </c>
      <c r="J41" t="s">
        <v>174</v>
      </c>
      <c r="K41" t="s">
        <v>89</v>
      </c>
      <c r="N41" t="s">
        <v>88</v>
      </c>
      <c r="O41" t="s">
        <v>89</v>
      </c>
      <c r="P41" t="s">
        <v>89</v>
      </c>
      <c r="Q41" t="s">
        <v>89</v>
      </c>
      <c r="R41" s="19" t="s">
        <v>88</v>
      </c>
      <c r="U41" s="17">
        <v>2</v>
      </c>
      <c r="AE41" s="19">
        <v>1</v>
      </c>
      <c r="AG41" s="16">
        <v>0</v>
      </c>
      <c r="AH41" t="s">
        <v>324</v>
      </c>
      <c r="AI41">
        <v>4</v>
      </c>
      <c r="AJ41" t="s">
        <v>197</v>
      </c>
      <c r="AK41" t="s">
        <v>339</v>
      </c>
      <c r="AL41" t="s">
        <v>355</v>
      </c>
      <c r="AM41" t="s">
        <v>19</v>
      </c>
      <c r="AN41" t="s">
        <v>49</v>
      </c>
    </row>
    <row r="42" spans="1:40">
      <c r="A42" t="s">
        <v>366</v>
      </c>
      <c r="B42" t="s">
        <v>49</v>
      </c>
      <c r="C42" t="s">
        <v>236</v>
      </c>
      <c r="D42" t="s">
        <v>62</v>
      </c>
      <c r="E42" t="s">
        <v>62</v>
      </c>
      <c r="F42" t="s">
        <v>166</v>
      </c>
      <c r="G42" t="s">
        <v>166</v>
      </c>
      <c r="H42" t="s">
        <v>85</v>
      </c>
      <c r="I42" t="s">
        <v>169</v>
      </c>
      <c r="J42" t="s">
        <v>173</v>
      </c>
      <c r="K42" t="s">
        <v>89</v>
      </c>
      <c r="N42" t="s">
        <v>88</v>
      </c>
      <c r="O42" t="s">
        <v>89</v>
      </c>
      <c r="P42" t="s">
        <v>89</v>
      </c>
      <c r="Q42" t="s">
        <v>89</v>
      </c>
      <c r="R42" s="19" t="s">
        <v>88</v>
      </c>
      <c r="S42" s="17">
        <v>2</v>
      </c>
      <c r="U42" s="17">
        <v>4</v>
      </c>
      <c r="AD42" s="19">
        <v>2</v>
      </c>
      <c r="AG42" s="16">
        <v>0.5</v>
      </c>
      <c r="AH42" t="s">
        <v>324</v>
      </c>
      <c r="AI42">
        <v>4</v>
      </c>
      <c r="AJ42" t="s">
        <v>197</v>
      </c>
      <c r="AK42" t="s">
        <v>339</v>
      </c>
      <c r="AL42" t="s">
        <v>355</v>
      </c>
      <c r="AM42" t="s">
        <v>19</v>
      </c>
      <c r="AN42" t="s">
        <v>49</v>
      </c>
    </row>
    <row r="43" spans="1:40">
      <c r="A43" t="s">
        <v>366</v>
      </c>
      <c r="B43" t="s">
        <v>49</v>
      </c>
      <c r="C43" t="s">
        <v>236</v>
      </c>
      <c r="D43" t="s">
        <v>59</v>
      </c>
      <c r="E43" t="s">
        <v>59</v>
      </c>
      <c r="F43" t="s">
        <v>166</v>
      </c>
      <c r="G43" t="s">
        <v>166</v>
      </c>
      <c r="H43" t="s">
        <v>85</v>
      </c>
      <c r="I43" t="s">
        <v>167</v>
      </c>
      <c r="J43" t="s">
        <v>171</v>
      </c>
      <c r="K43" t="s">
        <v>89</v>
      </c>
      <c r="N43" t="s">
        <v>88</v>
      </c>
      <c r="O43" t="s">
        <v>89</v>
      </c>
      <c r="P43" t="s">
        <v>89</v>
      </c>
      <c r="Q43" t="s">
        <v>89</v>
      </c>
      <c r="R43" s="19" t="s">
        <v>88</v>
      </c>
      <c r="S43" s="17">
        <v>7</v>
      </c>
      <c r="U43" s="17">
        <v>11</v>
      </c>
      <c r="V43" s="17">
        <v>1</v>
      </c>
      <c r="X43" s="17">
        <v>1</v>
      </c>
      <c r="Z43" s="19">
        <v>1</v>
      </c>
      <c r="AB43" s="19">
        <v>3</v>
      </c>
      <c r="AE43" s="19">
        <v>1</v>
      </c>
      <c r="AG43" s="16">
        <v>0.636364</v>
      </c>
      <c r="AH43" t="s">
        <v>324</v>
      </c>
      <c r="AI43">
        <v>4</v>
      </c>
      <c r="AJ43" t="s">
        <v>197</v>
      </c>
      <c r="AK43" t="s">
        <v>339</v>
      </c>
      <c r="AL43" t="s">
        <v>355</v>
      </c>
      <c r="AM43" t="s">
        <v>19</v>
      </c>
      <c r="AN43" t="s">
        <v>49</v>
      </c>
    </row>
    <row r="44" spans="1:40">
      <c r="A44" t="s">
        <v>366</v>
      </c>
      <c r="B44" t="s">
        <v>49</v>
      </c>
      <c r="C44" t="s">
        <v>236</v>
      </c>
      <c r="D44" t="s">
        <v>110</v>
      </c>
      <c r="E44" t="s">
        <v>110</v>
      </c>
      <c r="F44" t="s">
        <v>180</v>
      </c>
      <c r="G44" t="s">
        <v>180</v>
      </c>
      <c r="H44" t="s">
        <v>85</v>
      </c>
      <c r="I44" t="s">
        <v>181</v>
      </c>
      <c r="J44" t="s">
        <v>180</v>
      </c>
      <c r="K44" t="s">
        <v>89</v>
      </c>
      <c r="N44" t="s">
        <v>88</v>
      </c>
      <c r="O44" t="s">
        <v>89</v>
      </c>
      <c r="P44" t="s">
        <v>89</v>
      </c>
      <c r="Q44" t="s">
        <v>88</v>
      </c>
      <c r="R44" s="19" t="s">
        <v>88</v>
      </c>
      <c r="T44" s="17">
        <v>1</v>
      </c>
      <c r="V44" s="17">
        <v>1</v>
      </c>
      <c r="Y44" s="17">
        <v>6</v>
      </c>
      <c r="AC44" s="19">
        <v>10</v>
      </c>
      <c r="AF44" s="16">
        <v>0.375</v>
      </c>
      <c r="AH44" t="s">
        <v>324</v>
      </c>
      <c r="AI44">
        <v>4</v>
      </c>
      <c r="AJ44" t="s">
        <v>197</v>
      </c>
      <c r="AK44" t="s">
        <v>339</v>
      </c>
      <c r="AL44" t="s">
        <v>355</v>
      </c>
      <c r="AM44" t="s">
        <v>19</v>
      </c>
      <c r="AN44" t="s">
        <v>49</v>
      </c>
    </row>
    <row r="45" spans="1:40">
      <c r="A45" t="s">
        <v>366</v>
      </c>
      <c r="B45" t="s">
        <v>49</v>
      </c>
      <c r="C45" t="s">
        <v>236</v>
      </c>
      <c r="D45" t="s">
        <v>111</v>
      </c>
      <c r="E45" t="s">
        <v>111</v>
      </c>
      <c r="F45" t="s">
        <v>180</v>
      </c>
      <c r="G45" t="s">
        <v>180</v>
      </c>
      <c r="H45" t="s">
        <v>86</v>
      </c>
      <c r="I45" t="s">
        <v>181</v>
      </c>
      <c r="J45" t="s">
        <v>180</v>
      </c>
      <c r="K45" t="s">
        <v>89</v>
      </c>
      <c r="N45" t="s">
        <v>88</v>
      </c>
      <c r="O45" t="s">
        <v>89</v>
      </c>
      <c r="P45" t="s">
        <v>88</v>
      </c>
      <c r="Q45" t="s">
        <v>89</v>
      </c>
      <c r="R45" s="19" t="s">
        <v>88</v>
      </c>
      <c r="AF45" s="16">
        <v>0</v>
      </c>
      <c r="AH45" t="s">
        <v>324</v>
      </c>
      <c r="AI45">
        <v>4</v>
      </c>
      <c r="AJ45" t="s">
        <v>197</v>
      </c>
      <c r="AK45" t="s">
        <v>339</v>
      </c>
      <c r="AL45" t="s">
        <v>355</v>
      </c>
      <c r="AM45" t="s">
        <v>19</v>
      </c>
      <c r="AN45" t="s">
        <v>49</v>
      </c>
    </row>
    <row r="46" spans="1:40">
      <c r="A46" t="s">
        <v>367</v>
      </c>
      <c r="B46" t="s">
        <v>47</v>
      </c>
      <c r="C46" t="s">
        <v>236</v>
      </c>
      <c r="D46" t="s">
        <v>63</v>
      </c>
      <c r="E46" t="s">
        <v>63</v>
      </c>
      <c r="F46" t="s">
        <v>166</v>
      </c>
      <c r="G46" t="s">
        <v>166</v>
      </c>
      <c r="H46" t="s">
        <v>85</v>
      </c>
      <c r="I46" t="s">
        <v>167</v>
      </c>
      <c r="J46" t="s">
        <v>171</v>
      </c>
      <c r="K46" t="s">
        <v>88</v>
      </c>
      <c r="L46" t="s">
        <v>175</v>
      </c>
      <c r="M46" t="s">
        <v>179</v>
      </c>
      <c r="N46" t="s">
        <v>88</v>
      </c>
      <c r="O46" t="s">
        <v>89</v>
      </c>
      <c r="P46" t="s">
        <v>89</v>
      </c>
      <c r="Q46" t="s">
        <v>89</v>
      </c>
      <c r="R46" s="19" t="s">
        <v>88</v>
      </c>
      <c r="T46" s="17">
        <v>1</v>
      </c>
      <c r="U46" s="17">
        <v>1</v>
      </c>
      <c r="W46" s="17">
        <v>2</v>
      </c>
      <c r="Z46" s="19">
        <v>2</v>
      </c>
      <c r="AB46" s="19">
        <v>1</v>
      </c>
      <c r="AE46" s="19">
        <v>1</v>
      </c>
      <c r="AG46" s="16">
        <v>0</v>
      </c>
      <c r="AH46" t="s">
        <v>325</v>
      </c>
      <c r="AI46">
        <v>5</v>
      </c>
      <c r="AJ46" t="s">
        <v>198</v>
      </c>
      <c r="AK46" t="s">
        <v>342</v>
      </c>
      <c r="AL46" t="s">
        <v>356</v>
      </c>
      <c r="AM46" t="s">
        <v>18</v>
      </c>
      <c r="AN46" t="s">
        <v>47</v>
      </c>
    </row>
    <row r="47" spans="1:40">
      <c r="A47" t="s">
        <v>367</v>
      </c>
      <c r="B47" t="s">
        <v>47</v>
      </c>
      <c r="C47" t="s">
        <v>236</v>
      </c>
      <c r="D47" t="s">
        <v>69</v>
      </c>
      <c r="E47" t="s">
        <v>69</v>
      </c>
      <c r="F47" t="s">
        <v>166</v>
      </c>
      <c r="G47" t="s">
        <v>166</v>
      </c>
      <c r="H47" t="s">
        <v>85</v>
      </c>
      <c r="I47" t="s">
        <v>168</v>
      </c>
      <c r="J47" t="s">
        <v>172</v>
      </c>
      <c r="K47" t="s">
        <v>89</v>
      </c>
      <c r="N47" t="s">
        <v>88</v>
      </c>
      <c r="O47" t="s">
        <v>89</v>
      </c>
      <c r="P47" t="s">
        <v>89</v>
      </c>
      <c r="Q47" t="s">
        <v>89</v>
      </c>
      <c r="R47" s="19" t="s">
        <v>88</v>
      </c>
      <c r="Z47" s="19">
        <v>1</v>
      </c>
      <c r="AB47" s="19">
        <v>1</v>
      </c>
      <c r="AE47" s="19">
        <v>1</v>
      </c>
      <c r="AG47" s="16">
        <v>0</v>
      </c>
      <c r="AH47" t="s">
        <v>325</v>
      </c>
      <c r="AI47">
        <v>5</v>
      </c>
      <c r="AJ47" t="s">
        <v>198</v>
      </c>
      <c r="AK47" t="s">
        <v>342</v>
      </c>
      <c r="AL47" t="s">
        <v>356</v>
      </c>
      <c r="AM47" t="s">
        <v>18</v>
      </c>
      <c r="AN47" t="s">
        <v>47</v>
      </c>
    </row>
    <row r="48" spans="1:40">
      <c r="A48" t="s">
        <v>367</v>
      </c>
      <c r="B48" t="s">
        <v>47</v>
      </c>
      <c r="C48" t="s">
        <v>236</v>
      </c>
      <c r="D48" t="s">
        <v>60</v>
      </c>
      <c r="E48" t="s">
        <v>60</v>
      </c>
      <c r="F48" t="s">
        <v>166</v>
      </c>
      <c r="G48" t="s">
        <v>166</v>
      </c>
      <c r="H48" t="s">
        <v>85</v>
      </c>
      <c r="I48" t="s">
        <v>167</v>
      </c>
      <c r="J48" t="s">
        <v>171</v>
      </c>
      <c r="K48" t="s">
        <v>88</v>
      </c>
      <c r="L48" t="s">
        <v>176</v>
      </c>
      <c r="M48" t="s">
        <v>138</v>
      </c>
      <c r="N48" t="s">
        <v>88</v>
      </c>
      <c r="O48" t="s">
        <v>89</v>
      </c>
      <c r="P48" t="s">
        <v>89</v>
      </c>
      <c r="Q48" t="s">
        <v>89</v>
      </c>
      <c r="R48" s="19" t="s">
        <v>88</v>
      </c>
      <c r="S48" s="17">
        <v>2</v>
      </c>
      <c r="T48" s="17">
        <v>2</v>
      </c>
      <c r="U48" s="17">
        <v>5</v>
      </c>
      <c r="W48" s="17">
        <v>1</v>
      </c>
      <c r="Z48" s="19">
        <v>2</v>
      </c>
      <c r="AD48" s="19">
        <v>1</v>
      </c>
      <c r="AG48" s="16">
        <v>0.4</v>
      </c>
      <c r="AH48" t="s">
        <v>325</v>
      </c>
      <c r="AI48">
        <v>5</v>
      </c>
      <c r="AJ48" t="s">
        <v>198</v>
      </c>
      <c r="AK48" t="s">
        <v>342</v>
      </c>
      <c r="AL48" t="s">
        <v>356</v>
      </c>
      <c r="AM48" t="s">
        <v>18</v>
      </c>
      <c r="AN48" t="s">
        <v>47</v>
      </c>
    </row>
    <row r="49" spans="1:40">
      <c r="A49" t="s">
        <v>367</v>
      </c>
      <c r="B49" t="s">
        <v>47</v>
      </c>
      <c r="C49" t="s">
        <v>236</v>
      </c>
      <c r="D49" t="s">
        <v>61</v>
      </c>
      <c r="E49" t="s">
        <v>61</v>
      </c>
      <c r="F49" t="s">
        <v>166</v>
      </c>
      <c r="G49" t="s">
        <v>166</v>
      </c>
      <c r="H49" t="s">
        <v>85</v>
      </c>
      <c r="I49" t="s">
        <v>169</v>
      </c>
      <c r="J49" t="s">
        <v>173</v>
      </c>
      <c r="K49" t="s">
        <v>88</v>
      </c>
      <c r="L49" t="s">
        <v>177</v>
      </c>
      <c r="M49" t="s">
        <v>138</v>
      </c>
      <c r="N49" t="s">
        <v>88</v>
      </c>
      <c r="O49" t="s">
        <v>89</v>
      </c>
      <c r="P49" t="s">
        <v>89</v>
      </c>
      <c r="Q49" t="s">
        <v>89</v>
      </c>
      <c r="R49" s="19" t="s">
        <v>88</v>
      </c>
      <c r="S49" s="17">
        <v>1</v>
      </c>
      <c r="T49" s="17">
        <v>1</v>
      </c>
      <c r="U49" s="17">
        <v>2</v>
      </c>
      <c r="W49" s="17">
        <v>1</v>
      </c>
      <c r="X49" s="17">
        <v>1</v>
      </c>
      <c r="AE49" s="19">
        <v>1</v>
      </c>
      <c r="AG49" s="16">
        <v>0.5</v>
      </c>
      <c r="AH49" t="s">
        <v>325</v>
      </c>
      <c r="AI49">
        <v>5</v>
      </c>
      <c r="AJ49" t="s">
        <v>198</v>
      </c>
      <c r="AK49" t="s">
        <v>342</v>
      </c>
      <c r="AL49" t="s">
        <v>356</v>
      </c>
      <c r="AM49" t="s">
        <v>18</v>
      </c>
      <c r="AN49" t="s">
        <v>47</v>
      </c>
    </row>
    <row r="50" spans="1:40">
      <c r="A50" t="s">
        <v>367</v>
      </c>
      <c r="B50" t="s">
        <v>47</v>
      </c>
      <c r="C50" t="s">
        <v>236</v>
      </c>
      <c r="D50" t="s">
        <v>68</v>
      </c>
      <c r="E50" t="s">
        <v>68</v>
      </c>
      <c r="F50" t="s">
        <v>166</v>
      </c>
      <c r="G50" t="s">
        <v>166</v>
      </c>
      <c r="H50" t="s">
        <v>85</v>
      </c>
      <c r="I50" t="s">
        <v>170</v>
      </c>
      <c r="J50" t="s">
        <v>174</v>
      </c>
      <c r="K50" t="s">
        <v>89</v>
      </c>
      <c r="N50" t="s">
        <v>88</v>
      </c>
      <c r="O50" t="s">
        <v>89</v>
      </c>
      <c r="P50" t="s">
        <v>89</v>
      </c>
      <c r="Q50" t="s">
        <v>89</v>
      </c>
      <c r="R50" s="19" t="s">
        <v>88</v>
      </c>
      <c r="T50" s="17">
        <v>1</v>
      </c>
      <c r="U50" s="17">
        <v>1</v>
      </c>
      <c r="AA50" s="19">
        <v>1</v>
      </c>
      <c r="AB50" s="19">
        <v>2</v>
      </c>
      <c r="AE50" s="19">
        <v>2</v>
      </c>
      <c r="AG50" s="16">
        <v>0</v>
      </c>
      <c r="AH50" t="s">
        <v>325</v>
      </c>
      <c r="AI50">
        <v>5</v>
      </c>
      <c r="AJ50" t="s">
        <v>198</v>
      </c>
      <c r="AK50" t="s">
        <v>342</v>
      </c>
      <c r="AL50" t="s">
        <v>356</v>
      </c>
      <c r="AM50" t="s">
        <v>18</v>
      </c>
      <c r="AN50" t="s">
        <v>47</v>
      </c>
    </row>
    <row r="51" spans="1:40">
      <c r="A51" t="s">
        <v>367</v>
      </c>
      <c r="B51" t="s">
        <v>47</v>
      </c>
      <c r="C51" t="s">
        <v>236</v>
      </c>
      <c r="D51" t="s">
        <v>65</v>
      </c>
      <c r="E51" t="s">
        <v>65</v>
      </c>
      <c r="F51" t="s">
        <v>166</v>
      </c>
      <c r="G51" t="s">
        <v>166</v>
      </c>
      <c r="H51" t="s">
        <v>86</v>
      </c>
      <c r="I51" t="s">
        <v>170</v>
      </c>
      <c r="J51" t="s">
        <v>174</v>
      </c>
      <c r="K51" t="s">
        <v>89</v>
      </c>
      <c r="N51" t="s">
        <v>88</v>
      </c>
      <c r="O51" t="s">
        <v>89</v>
      </c>
      <c r="P51" t="s">
        <v>89</v>
      </c>
      <c r="Q51" t="s">
        <v>89</v>
      </c>
      <c r="R51" s="19" t="s">
        <v>88</v>
      </c>
      <c r="S51" s="17">
        <v>1</v>
      </c>
      <c r="U51" s="17">
        <v>3</v>
      </c>
      <c r="V51" s="17">
        <v>1</v>
      </c>
      <c r="AB51" s="19">
        <v>1</v>
      </c>
      <c r="AE51" s="19">
        <v>1</v>
      </c>
      <c r="AG51" s="16">
        <v>0.333333</v>
      </c>
      <c r="AH51" t="s">
        <v>325</v>
      </c>
      <c r="AI51">
        <v>5</v>
      </c>
      <c r="AJ51" t="s">
        <v>198</v>
      </c>
      <c r="AK51" t="s">
        <v>342</v>
      </c>
      <c r="AL51" t="s">
        <v>356</v>
      </c>
      <c r="AM51" t="s">
        <v>18</v>
      </c>
      <c r="AN51" t="s">
        <v>47</v>
      </c>
    </row>
    <row r="52" spans="1:40">
      <c r="A52" t="s">
        <v>367</v>
      </c>
      <c r="B52" t="s">
        <v>47</v>
      </c>
      <c r="C52" t="s">
        <v>236</v>
      </c>
      <c r="D52" t="s">
        <v>64</v>
      </c>
      <c r="E52" t="s">
        <v>64</v>
      </c>
      <c r="F52" t="s">
        <v>166</v>
      </c>
      <c r="G52" t="s">
        <v>166</v>
      </c>
      <c r="H52" t="s">
        <v>85</v>
      </c>
      <c r="I52" t="s">
        <v>168</v>
      </c>
      <c r="J52" t="s">
        <v>172</v>
      </c>
      <c r="K52" t="s">
        <v>88</v>
      </c>
      <c r="L52" t="s">
        <v>178</v>
      </c>
      <c r="M52" t="s">
        <v>138</v>
      </c>
      <c r="N52" t="s">
        <v>88</v>
      </c>
      <c r="O52" t="s">
        <v>89</v>
      </c>
      <c r="P52" t="s">
        <v>89</v>
      </c>
      <c r="Q52" t="s">
        <v>89</v>
      </c>
      <c r="R52" s="19" t="s">
        <v>88</v>
      </c>
      <c r="S52" s="17">
        <v>1</v>
      </c>
      <c r="U52" s="17">
        <v>2</v>
      </c>
      <c r="W52" s="17">
        <v>2</v>
      </c>
      <c r="Z52" s="19">
        <v>1</v>
      </c>
      <c r="AB52" s="19">
        <v>1</v>
      </c>
      <c r="AE52" s="19">
        <v>2</v>
      </c>
      <c r="AG52" s="16">
        <v>0.5</v>
      </c>
      <c r="AH52" t="s">
        <v>325</v>
      </c>
      <c r="AI52">
        <v>5</v>
      </c>
      <c r="AJ52" t="s">
        <v>198</v>
      </c>
      <c r="AK52" t="s">
        <v>342</v>
      </c>
      <c r="AL52" t="s">
        <v>356</v>
      </c>
      <c r="AM52" t="s">
        <v>18</v>
      </c>
      <c r="AN52" t="s">
        <v>47</v>
      </c>
    </row>
    <row r="53" spans="1:40">
      <c r="A53" t="s">
        <v>367</v>
      </c>
      <c r="B53" t="s">
        <v>47</v>
      </c>
      <c r="C53" t="s">
        <v>236</v>
      </c>
      <c r="D53" t="s">
        <v>71</v>
      </c>
      <c r="E53" t="s">
        <v>71</v>
      </c>
      <c r="F53" t="s">
        <v>166</v>
      </c>
      <c r="G53" t="s">
        <v>166</v>
      </c>
      <c r="H53" t="s">
        <v>85</v>
      </c>
      <c r="I53" t="s">
        <v>170</v>
      </c>
      <c r="J53" t="s">
        <v>174</v>
      </c>
      <c r="K53" t="s">
        <v>89</v>
      </c>
      <c r="N53" t="s">
        <v>88</v>
      </c>
      <c r="O53" t="s">
        <v>89</v>
      </c>
      <c r="P53" t="s">
        <v>89</v>
      </c>
      <c r="Q53" t="s">
        <v>89</v>
      </c>
      <c r="R53" s="19" t="s">
        <v>88</v>
      </c>
      <c r="U53" s="17">
        <v>1</v>
      </c>
      <c r="Z53" s="19">
        <v>1</v>
      </c>
      <c r="AB53" s="19">
        <v>1</v>
      </c>
      <c r="AE53" s="19">
        <v>1</v>
      </c>
      <c r="AG53" s="16">
        <v>0</v>
      </c>
      <c r="AH53" t="s">
        <v>325</v>
      </c>
      <c r="AI53">
        <v>5</v>
      </c>
      <c r="AJ53" t="s">
        <v>198</v>
      </c>
      <c r="AK53" t="s">
        <v>342</v>
      </c>
      <c r="AL53" t="s">
        <v>356</v>
      </c>
      <c r="AM53" t="s">
        <v>18</v>
      </c>
      <c r="AN53" t="s">
        <v>47</v>
      </c>
    </row>
    <row r="54" spans="1:40">
      <c r="A54" t="s">
        <v>367</v>
      </c>
      <c r="B54" t="s">
        <v>47</v>
      </c>
      <c r="C54" t="s">
        <v>236</v>
      </c>
      <c r="D54" t="s">
        <v>129</v>
      </c>
      <c r="E54" t="s">
        <v>129</v>
      </c>
      <c r="F54" t="s">
        <v>166</v>
      </c>
      <c r="G54" t="s">
        <v>166</v>
      </c>
      <c r="H54" t="s">
        <v>85</v>
      </c>
      <c r="I54" t="s">
        <v>170</v>
      </c>
      <c r="J54" t="s">
        <v>174</v>
      </c>
      <c r="K54" t="s">
        <v>89</v>
      </c>
      <c r="N54" t="s">
        <v>88</v>
      </c>
      <c r="O54" t="s">
        <v>89</v>
      </c>
      <c r="P54" t="s">
        <v>88</v>
      </c>
      <c r="Q54" t="s">
        <v>89</v>
      </c>
      <c r="R54" s="19" t="s">
        <v>88</v>
      </c>
      <c r="AG54" s="16">
        <v>0</v>
      </c>
      <c r="AH54" t="s">
        <v>325</v>
      </c>
      <c r="AI54">
        <v>5</v>
      </c>
      <c r="AJ54" t="s">
        <v>198</v>
      </c>
      <c r="AK54" t="s">
        <v>342</v>
      </c>
      <c r="AL54" t="s">
        <v>356</v>
      </c>
      <c r="AM54" t="s">
        <v>18</v>
      </c>
      <c r="AN54" t="s">
        <v>47</v>
      </c>
    </row>
    <row r="55" spans="1:40">
      <c r="A55" t="s">
        <v>367</v>
      </c>
      <c r="B55" t="s">
        <v>47</v>
      </c>
      <c r="C55" t="s">
        <v>236</v>
      </c>
      <c r="D55" t="s">
        <v>66</v>
      </c>
      <c r="E55" t="s">
        <v>66</v>
      </c>
      <c r="F55" t="s">
        <v>166</v>
      </c>
      <c r="G55" t="s">
        <v>166</v>
      </c>
      <c r="H55" t="s">
        <v>85</v>
      </c>
      <c r="I55" t="s">
        <v>167</v>
      </c>
      <c r="J55" t="s">
        <v>171</v>
      </c>
      <c r="K55" t="s">
        <v>89</v>
      </c>
      <c r="N55" t="s">
        <v>88</v>
      </c>
      <c r="O55" t="s">
        <v>89</v>
      </c>
      <c r="P55" t="s">
        <v>89</v>
      </c>
      <c r="Q55" t="s">
        <v>89</v>
      </c>
      <c r="R55" s="19" t="s">
        <v>88</v>
      </c>
      <c r="U55" s="17">
        <v>1</v>
      </c>
      <c r="V55" s="17">
        <v>1</v>
      </c>
      <c r="AG55" s="16">
        <v>0</v>
      </c>
      <c r="AH55" t="s">
        <v>325</v>
      </c>
      <c r="AI55">
        <v>5</v>
      </c>
      <c r="AJ55" t="s">
        <v>198</v>
      </c>
      <c r="AK55" t="s">
        <v>342</v>
      </c>
      <c r="AL55" t="s">
        <v>356</v>
      </c>
      <c r="AM55" t="s">
        <v>18</v>
      </c>
      <c r="AN55" t="s">
        <v>47</v>
      </c>
    </row>
    <row r="56" spans="1:40">
      <c r="A56" t="s">
        <v>367</v>
      </c>
      <c r="B56" t="s">
        <v>47</v>
      </c>
      <c r="C56" t="s">
        <v>236</v>
      </c>
      <c r="D56" t="s">
        <v>70</v>
      </c>
      <c r="E56" t="s">
        <v>70</v>
      </c>
      <c r="F56" t="s">
        <v>166</v>
      </c>
      <c r="G56" t="s">
        <v>166</v>
      </c>
      <c r="H56" t="s">
        <v>85</v>
      </c>
      <c r="I56" t="s">
        <v>170</v>
      </c>
      <c r="J56" t="s">
        <v>174</v>
      </c>
      <c r="K56" t="s">
        <v>89</v>
      </c>
      <c r="N56" t="s">
        <v>88</v>
      </c>
      <c r="O56" t="s">
        <v>89</v>
      </c>
      <c r="P56" t="s">
        <v>89</v>
      </c>
      <c r="Q56" t="s">
        <v>89</v>
      </c>
      <c r="R56" s="19" t="s">
        <v>88</v>
      </c>
      <c r="T56" s="17">
        <v>3</v>
      </c>
      <c r="U56" s="17">
        <v>2</v>
      </c>
      <c r="W56" s="17">
        <v>1</v>
      </c>
      <c r="AD56" s="19">
        <v>1</v>
      </c>
      <c r="AG56" s="16">
        <v>0</v>
      </c>
      <c r="AH56" t="s">
        <v>325</v>
      </c>
      <c r="AI56">
        <v>5</v>
      </c>
      <c r="AJ56" t="s">
        <v>198</v>
      </c>
      <c r="AK56" t="s">
        <v>342</v>
      </c>
      <c r="AL56" t="s">
        <v>356</v>
      </c>
      <c r="AM56" t="s">
        <v>18</v>
      </c>
      <c r="AN56" t="s">
        <v>47</v>
      </c>
    </row>
    <row r="57" spans="1:40">
      <c r="A57" t="s">
        <v>367</v>
      </c>
      <c r="B57" t="s">
        <v>47</v>
      </c>
      <c r="C57" t="s">
        <v>236</v>
      </c>
      <c r="D57" t="s">
        <v>62</v>
      </c>
      <c r="E57" t="s">
        <v>62</v>
      </c>
      <c r="F57" t="s">
        <v>166</v>
      </c>
      <c r="G57" t="s">
        <v>166</v>
      </c>
      <c r="H57" t="s">
        <v>85</v>
      </c>
      <c r="I57" t="s">
        <v>169</v>
      </c>
      <c r="J57" t="s">
        <v>173</v>
      </c>
      <c r="K57" t="s">
        <v>89</v>
      </c>
      <c r="N57" t="s">
        <v>88</v>
      </c>
      <c r="O57" t="s">
        <v>89</v>
      </c>
      <c r="P57" t="s">
        <v>89</v>
      </c>
      <c r="Q57" t="s">
        <v>89</v>
      </c>
      <c r="R57" s="19" t="s">
        <v>88</v>
      </c>
      <c r="S57" s="17">
        <v>1</v>
      </c>
      <c r="U57" s="17">
        <v>3</v>
      </c>
      <c r="W57" s="17">
        <v>7</v>
      </c>
      <c r="AB57" s="19">
        <v>2</v>
      </c>
      <c r="AD57" s="19">
        <v>1</v>
      </c>
      <c r="AE57" s="19">
        <v>1</v>
      </c>
      <c r="AG57" s="16">
        <v>0.333333</v>
      </c>
      <c r="AH57" t="s">
        <v>325</v>
      </c>
      <c r="AI57">
        <v>5</v>
      </c>
      <c r="AJ57" t="s">
        <v>198</v>
      </c>
      <c r="AK57" t="s">
        <v>342</v>
      </c>
      <c r="AL57" t="s">
        <v>356</v>
      </c>
      <c r="AM57" t="s">
        <v>18</v>
      </c>
      <c r="AN57" t="s">
        <v>47</v>
      </c>
    </row>
    <row r="58" spans="1:40">
      <c r="A58" t="s">
        <v>367</v>
      </c>
      <c r="B58" t="s">
        <v>47</v>
      </c>
      <c r="C58" t="s">
        <v>236</v>
      </c>
      <c r="D58" t="s">
        <v>59</v>
      </c>
      <c r="E58" t="s">
        <v>59</v>
      </c>
      <c r="F58" t="s">
        <v>166</v>
      </c>
      <c r="G58" t="s">
        <v>166</v>
      </c>
      <c r="H58" t="s">
        <v>85</v>
      </c>
      <c r="I58" t="s">
        <v>167</v>
      </c>
      <c r="J58" t="s">
        <v>171</v>
      </c>
      <c r="K58" t="s">
        <v>89</v>
      </c>
      <c r="N58" t="s">
        <v>88</v>
      </c>
      <c r="O58" t="s">
        <v>89</v>
      </c>
      <c r="P58" t="s">
        <v>89</v>
      </c>
      <c r="Q58" t="s">
        <v>89</v>
      </c>
      <c r="R58" s="19" t="s">
        <v>88</v>
      </c>
      <c r="S58" s="17">
        <v>5</v>
      </c>
      <c r="U58" s="17">
        <v>10</v>
      </c>
      <c r="W58" s="17">
        <v>1</v>
      </c>
      <c r="AB58" s="19">
        <v>3</v>
      </c>
      <c r="AE58" s="19">
        <v>3</v>
      </c>
      <c r="AG58" s="16">
        <v>0.5</v>
      </c>
      <c r="AH58" t="s">
        <v>325</v>
      </c>
      <c r="AI58">
        <v>5</v>
      </c>
      <c r="AJ58" t="s">
        <v>198</v>
      </c>
      <c r="AK58" t="s">
        <v>342</v>
      </c>
      <c r="AL58" t="s">
        <v>356</v>
      </c>
      <c r="AM58" t="s">
        <v>18</v>
      </c>
      <c r="AN58" t="s">
        <v>47</v>
      </c>
    </row>
    <row r="59" spans="1:40">
      <c r="A59" t="s">
        <v>367</v>
      </c>
      <c r="B59" t="s">
        <v>47</v>
      </c>
      <c r="C59" t="s">
        <v>236</v>
      </c>
      <c r="D59" t="s">
        <v>110</v>
      </c>
      <c r="E59" t="s">
        <v>110</v>
      </c>
      <c r="F59" t="s">
        <v>180</v>
      </c>
      <c r="G59" t="s">
        <v>180</v>
      </c>
      <c r="H59" t="s">
        <v>85</v>
      </c>
      <c r="I59" t="s">
        <v>181</v>
      </c>
      <c r="J59" t="s">
        <v>180</v>
      </c>
      <c r="K59" t="s">
        <v>89</v>
      </c>
      <c r="N59" t="s">
        <v>88</v>
      </c>
      <c r="O59" t="s">
        <v>89</v>
      </c>
      <c r="P59" t="s">
        <v>89</v>
      </c>
      <c r="Q59" t="s">
        <v>88</v>
      </c>
      <c r="R59" s="19" t="s">
        <v>88</v>
      </c>
      <c r="Y59" s="17">
        <v>5</v>
      </c>
      <c r="AC59" s="19">
        <v>10</v>
      </c>
      <c r="AE59" s="19">
        <v>2</v>
      </c>
      <c r="AF59" s="16">
        <v>0.333333</v>
      </c>
      <c r="AH59" t="s">
        <v>325</v>
      </c>
      <c r="AI59">
        <v>5</v>
      </c>
      <c r="AJ59" t="s">
        <v>198</v>
      </c>
      <c r="AK59" t="s">
        <v>342</v>
      </c>
      <c r="AL59" t="s">
        <v>356</v>
      </c>
      <c r="AM59" t="s">
        <v>18</v>
      </c>
      <c r="AN59" t="s">
        <v>47</v>
      </c>
    </row>
    <row r="60" spans="1:40">
      <c r="A60" t="s">
        <v>367</v>
      </c>
      <c r="B60" t="s">
        <v>47</v>
      </c>
      <c r="C60" t="s">
        <v>236</v>
      </c>
      <c r="D60" t="s">
        <v>111</v>
      </c>
      <c r="E60" t="s">
        <v>111</v>
      </c>
      <c r="F60" t="s">
        <v>180</v>
      </c>
      <c r="G60" t="s">
        <v>180</v>
      </c>
      <c r="H60" t="s">
        <v>86</v>
      </c>
      <c r="I60" t="s">
        <v>181</v>
      </c>
      <c r="J60" t="s">
        <v>180</v>
      </c>
      <c r="K60" t="s">
        <v>89</v>
      </c>
      <c r="N60" t="s">
        <v>88</v>
      </c>
      <c r="O60" t="s">
        <v>89</v>
      </c>
      <c r="P60" t="s">
        <v>89</v>
      </c>
      <c r="Q60" t="s">
        <v>88</v>
      </c>
      <c r="R60" s="19" t="s">
        <v>88</v>
      </c>
      <c r="Y60" s="17">
        <v>4</v>
      </c>
      <c r="AC60" s="19">
        <v>3</v>
      </c>
      <c r="AF60" s="16">
        <v>0.571429</v>
      </c>
      <c r="AH60" t="s">
        <v>325</v>
      </c>
      <c r="AI60">
        <v>5</v>
      </c>
      <c r="AJ60" t="s">
        <v>198</v>
      </c>
      <c r="AK60" t="s">
        <v>342</v>
      </c>
      <c r="AL60" t="s">
        <v>356</v>
      </c>
      <c r="AM60" t="s">
        <v>18</v>
      </c>
      <c r="AN60" t="s">
        <v>47</v>
      </c>
    </row>
    <row r="61" spans="1:40">
      <c r="A61" t="s">
        <v>368</v>
      </c>
      <c r="B61" t="s">
        <v>44</v>
      </c>
      <c r="C61" t="s">
        <v>236</v>
      </c>
      <c r="D61" t="s">
        <v>69</v>
      </c>
      <c r="E61" t="s">
        <v>69</v>
      </c>
      <c r="F61" t="s">
        <v>166</v>
      </c>
      <c r="G61" t="s">
        <v>166</v>
      </c>
      <c r="H61" t="s">
        <v>85</v>
      </c>
      <c r="I61" t="s">
        <v>168</v>
      </c>
      <c r="J61" t="s">
        <v>172</v>
      </c>
      <c r="K61" t="s">
        <v>89</v>
      </c>
      <c r="N61" t="s">
        <v>88</v>
      </c>
      <c r="O61" t="s">
        <v>89</v>
      </c>
      <c r="P61" t="s">
        <v>89</v>
      </c>
      <c r="Q61" t="s">
        <v>89</v>
      </c>
      <c r="R61" s="19" t="s">
        <v>88</v>
      </c>
      <c r="T61" s="17">
        <v>1</v>
      </c>
      <c r="Z61" s="19">
        <v>1</v>
      </c>
      <c r="AA61" s="19">
        <v>1</v>
      </c>
      <c r="AB61" s="19">
        <v>2</v>
      </c>
      <c r="AG61" s="16">
        <v>0</v>
      </c>
      <c r="AH61" t="s">
        <v>326</v>
      </c>
      <c r="AI61">
        <v>6</v>
      </c>
      <c r="AJ61" t="s">
        <v>199</v>
      </c>
      <c r="AK61" t="s">
        <v>343</v>
      </c>
      <c r="AL61" t="s">
        <v>353</v>
      </c>
      <c r="AM61" t="s">
        <v>19</v>
      </c>
      <c r="AN61" t="s">
        <v>44</v>
      </c>
    </row>
    <row r="62" spans="1:40">
      <c r="A62" t="s">
        <v>368</v>
      </c>
      <c r="B62" t="s">
        <v>44</v>
      </c>
      <c r="C62" t="s">
        <v>236</v>
      </c>
      <c r="D62" t="s">
        <v>60</v>
      </c>
      <c r="E62" t="s">
        <v>60</v>
      </c>
      <c r="F62" t="s">
        <v>166</v>
      </c>
      <c r="G62" t="s">
        <v>166</v>
      </c>
      <c r="H62" t="s">
        <v>85</v>
      </c>
      <c r="I62" t="s">
        <v>167</v>
      </c>
      <c r="J62" t="s">
        <v>171</v>
      </c>
      <c r="K62" t="s">
        <v>88</v>
      </c>
      <c r="L62" t="s">
        <v>176</v>
      </c>
      <c r="M62" t="s">
        <v>138</v>
      </c>
      <c r="N62" t="s">
        <v>88</v>
      </c>
      <c r="O62" t="s">
        <v>89</v>
      </c>
      <c r="P62" t="s">
        <v>89</v>
      </c>
      <c r="Q62" t="s">
        <v>89</v>
      </c>
      <c r="R62" s="19" t="s">
        <v>88</v>
      </c>
      <c r="S62" s="17">
        <v>1</v>
      </c>
      <c r="T62" s="17">
        <v>1</v>
      </c>
      <c r="U62" s="17">
        <v>8</v>
      </c>
      <c r="W62" s="17">
        <v>1</v>
      </c>
      <c r="Z62" s="19">
        <v>2</v>
      </c>
      <c r="AB62" s="19">
        <v>2</v>
      </c>
      <c r="AE62" s="19">
        <v>2</v>
      </c>
      <c r="AG62" s="16">
        <v>0.125</v>
      </c>
      <c r="AH62" t="s">
        <v>326</v>
      </c>
      <c r="AI62">
        <v>6</v>
      </c>
      <c r="AJ62" t="s">
        <v>199</v>
      </c>
      <c r="AK62" t="s">
        <v>343</v>
      </c>
      <c r="AL62" t="s">
        <v>353</v>
      </c>
      <c r="AM62" t="s">
        <v>19</v>
      </c>
      <c r="AN62" t="s">
        <v>44</v>
      </c>
    </row>
    <row r="63" spans="1:40">
      <c r="A63" t="s">
        <v>368</v>
      </c>
      <c r="B63" t="s">
        <v>44</v>
      </c>
      <c r="C63" t="s">
        <v>236</v>
      </c>
      <c r="D63" t="s">
        <v>61</v>
      </c>
      <c r="E63" t="s">
        <v>61</v>
      </c>
      <c r="F63" t="s">
        <v>166</v>
      </c>
      <c r="G63" t="s">
        <v>166</v>
      </c>
      <c r="H63" t="s">
        <v>85</v>
      </c>
      <c r="I63" t="s">
        <v>169</v>
      </c>
      <c r="J63" t="s">
        <v>173</v>
      </c>
      <c r="K63" t="s">
        <v>88</v>
      </c>
      <c r="L63" t="s">
        <v>177</v>
      </c>
      <c r="M63" t="s">
        <v>138</v>
      </c>
      <c r="N63" t="s">
        <v>88</v>
      </c>
      <c r="O63" t="s">
        <v>89</v>
      </c>
      <c r="P63" t="s">
        <v>89</v>
      </c>
      <c r="Q63" t="s">
        <v>89</v>
      </c>
      <c r="R63" s="19" t="s">
        <v>88</v>
      </c>
      <c r="T63" s="17">
        <v>2</v>
      </c>
      <c r="U63" s="17">
        <v>3</v>
      </c>
      <c r="V63" s="17">
        <v>1</v>
      </c>
      <c r="W63" s="17">
        <v>3</v>
      </c>
      <c r="AD63" s="19">
        <v>1</v>
      </c>
      <c r="AE63" s="19">
        <v>2</v>
      </c>
      <c r="AG63" s="16">
        <v>0</v>
      </c>
      <c r="AH63" t="s">
        <v>326</v>
      </c>
      <c r="AI63">
        <v>6</v>
      </c>
      <c r="AJ63" t="s">
        <v>199</v>
      </c>
      <c r="AK63" t="s">
        <v>343</v>
      </c>
      <c r="AL63" t="s">
        <v>353</v>
      </c>
      <c r="AM63" t="s">
        <v>19</v>
      </c>
      <c r="AN63" t="s">
        <v>44</v>
      </c>
    </row>
    <row r="64" spans="1:40">
      <c r="A64" t="s">
        <v>368</v>
      </c>
      <c r="B64" t="s">
        <v>44</v>
      </c>
      <c r="C64" t="s">
        <v>236</v>
      </c>
      <c r="D64" t="s">
        <v>68</v>
      </c>
      <c r="E64" t="s">
        <v>68</v>
      </c>
      <c r="F64" t="s">
        <v>166</v>
      </c>
      <c r="G64" t="s">
        <v>166</v>
      </c>
      <c r="H64" t="s">
        <v>85</v>
      </c>
      <c r="I64" t="s">
        <v>170</v>
      </c>
      <c r="J64" t="s">
        <v>174</v>
      </c>
      <c r="K64" t="s">
        <v>89</v>
      </c>
      <c r="N64" t="s">
        <v>88</v>
      </c>
      <c r="O64" t="s">
        <v>89</v>
      </c>
      <c r="P64" t="s">
        <v>89</v>
      </c>
      <c r="Q64" t="s">
        <v>89</v>
      </c>
      <c r="R64" s="19" t="s">
        <v>88</v>
      </c>
      <c r="AB64" s="19">
        <v>2</v>
      </c>
      <c r="AD64" s="19">
        <v>1</v>
      </c>
      <c r="AG64" s="16">
        <v>0</v>
      </c>
      <c r="AH64" t="s">
        <v>326</v>
      </c>
      <c r="AI64">
        <v>6</v>
      </c>
      <c r="AJ64" t="s">
        <v>199</v>
      </c>
      <c r="AK64" t="s">
        <v>343</v>
      </c>
      <c r="AL64" t="s">
        <v>353</v>
      </c>
      <c r="AM64" t="s">
        <v>19</v>
      </c>
      <c r="AN64" t="s">
        <v>44</v>
      </c>
    </row>
    <row r="65" spans="1:40">
      <c r="A65" t="s">
        <v>368</v>
      </c>
      <c r="B65" t="s">
        <v>44</v>
      </c>
      <c r="C65" t="s">
        <v>236</v>
      </c>
      <c r="D65" t="s">
        <v>65</v>
      </c>
      <c r="E65" t="s">
        <v>65</v>
      </c>
      <c r="F65" t="s">
        <v>166</v>
      </c>
      <c r="G65" t="s">
        <v>166</v>
      </c>
      <c r="H65" t="s">
        <v>86</v>
      </c>
      <c r="I65" t="s">
        <v>170</v>
      </c>
      <c r="J65" t="s">
        <v>174</v>
      </c>
      <c r="K65" t="s">
        <v>89</v>
      </c>
      <c r="N65" t="s">
        <v>88</v>
      </c>
      <c r="O65" t="s">
        <v>89</v>
      </c>
      <c r="P65" t="s">
        <v>89</v>
      </c>
      <c r="Q65" t="s">
        <v>89</v>
      </c>
      <c r="R65" s="19" t="s">
        <v>88</v>
      </c>
      <c r="S65" s="17">
        <v>1</v>
      </c>
      <c r="U65" s="17">
        <v>4</v>
      </c>
      <c r="V65" s="17">
        <v>1</v>
      </c>
      <c r="W65" s="17">
        <v>1</v>
      </c>
      <c r="X65" s="17">
        <v>1</v>
      </c>
      <c r="Z65" s="19">
        <v>1</v>
      </c>
      <c r="AB65" s="19">
        <v>2</v>
      </c>
      <c r="AE65" s="19">
        <v>1</v>
      </c>
      <c r="AG65" s="16">
        <v>0.25</v>
      </c>
      <c r="AH65" t="s">
        <v>326</v>
      </c>
      <c r="AI65">
        <v>6</v>
      </c>
      <c r="AJ65" t="s">
        <v>199</v>
      </c>
      <c r="AK65" t="s">
        <v>343</v>
      </c>
      <c r="AL65" t="s">
        <v>353</v>
      </c>
      <c r="AM65" t="s">
        <v>19</v>
      </c>
      <c r="AN65" t="s">
        <v>44</v>
      </c>
    </row>
    <row r="66" spans="1:40">
      <c r="A66" t="s">
        <v>368</v>
      </c>
      <c r="B66" t="s">
        <v>44</v>
      </c>
      <c r="C66" t="s">
        <v>236</v>
      </c>
      <c r="D66" t="s">
        <v>64</v>
      </c>
      <c r="E66" t="s">
        <v>64</v>
      </c>
      <c r="F66" t="s">
        <v>166</v>
      </c>
      <c r="G66" t="s">
        <v>166</v>
      </c>
      <c r="H66" t="s">
        <v>85</v>
      </c>
      <c r="I66" t="s">
        <v>168</v>
      </c>
      <c r="J66" t="s">
        <v>172</v>
      </c>
      <c r="K66" t="s">
        <v>88</v>
      </c>
      <c r="L66" t="s">
        <v>178</v>
      </c>
      <c r="M66" t="s">
        <v>138</v>
      </c>
      <c r="N66" t="s">
        <v>88</v>
      </c>
      <c r="O66" t="s">
        <v>89</v>
      </c>
      <c r="P66" t="s">
        <v>89</v>
      </c>
      <c r="Q66" t="s">
        <v>89</v>
      </c>
      <c r="R66" s="19" t="s">
        <v>88</v>
      </c>
      <c r="W66" s="17">
        <v>1</v>
      </c>
      <c r="Z66" s="19">
        <v>3</v>
      </c>
      <c r="AB66" s="19">
        <v>2</v>
      </c>
      <c r="AE66" s="19">
        <v>1</v>
      </c>
      <c r="AG66" s="16">
        <v>0</v>
      </c>
      <c r="AH66" t="s">
        <v>326</v>
      </c>
      <c r="AI66">
        <v>6</v>
      </c>
      <c r="AJ66" t="s">
        <v>199</v>
      </c>
      <c r="AK66" t="s">
        <v>343</v>
      </c>
      <c r="AL66" t="s">
        <v>353</v>
      </c>
      <c r="AM66" t="s">
        <v>19</v>
      </c>
      <c r="AN66" t="s">
        <v>44</v>
      </c>
    </row>
    <row r="67" spans="1:40">
      <c r="A67" t="s">
        <v>368</v>
      </c>
      <c r="B67" t="s">
        <v>44</v>
      </c>
      <c r="C67" t="s">
        <v>236</v>
      </c>
      <c r="D67" t="s">
        <v>129</v>
      </c>
      <c r="E67" t="s">
        <v>129</v>
      </c>
      <c r="F67" t="s">
        <v>166</v>
      </c>
      <c r="G67" t="s">
        <v>166</v>
      </c>
      <c r="H67" t="s">
        <v>85</v>
      </c>
      <c r="I67" t="s">
        <v>170</v>
      </c>
      <c r="J67" t="s">
        <v>174</v>
      </c>
      <c r="K67" t="s">
        <v>89</v>
      </c>
      <c r="N67" t="s">
        <v>88</v>
      </c>
      <c r="O67" t="s">
        <v>89</v>
      </c>
      <c r="P67" t="s">
        <v>89</v>
      </c>
      <c r="Q67" t="s">
        <v>89</v>
      </c>
      <c r="R67" s="19" t="s">
        <v>88</v>
      </c>
      <c r="AE67" s="19">
        <v>1</v>
      </c>
      <c r="AG67" s="16">
        <v>0</v>
      </c>
      <c r="AH67" t="s">
        <v>326</v>
      </c>
      <c r="AI67">
        <v>6</v>
      </c>
      <c r="AJ67" t="s">
        <v>199</v>
      </c>
      <c r="AK67" t="s">
        <v>343</v>
      </c>
      <c r="AL67" t="s">
        <v>353</v>
      </c>
      <c r="AM67" t="s">
        <v>19</v>
      </c>
      <c r="AN67" t="s">
        <v>44</v>
      </c>
    </row>
    <row r="68" spans="1:40">
      <c r="A68" t="s">
        <v>368</v>
      </c>
      <c r="B68" t="s">
        <v>44</v>
      </c>
      <c r="C68" t="s">
        <v>236</v>
      </c>
      <c r="D68" t="s">
        <v>66</v>
      </c>
      <c r="E68" t="s">
        <v>66</v>
      </c>
      <c r="F68" t="s">
        <v>166</v>
      </c>
      <c r="G68" t="s">
        <v>166</v>
      </c>
      <c r="H68" t="s">
        <v>85</v>
      </c>
      <c r="I68" t="s">
        <v>167</v>
      </c>
      <c r="J68" t="s">
        <v>171</v>
      </c>
      <c r="K68" t="s">
        <v>89</v>
      </c>
      <c r="N68" t="s">
        <v>88</v>
      </c>
      <c r="O68" t="s">
        <v>89</v>
      </c>
      <c r="P68" t="s">
        <v>89</v>
      </c>
      <c r="Q68" t="s">
        <v>89</v>
      </c>
      <c r="R68" s="19" t="s">
        <v>88</v>
      </c>
      <c r="U68" s="17">
        <v>3</v>
      </c>
      <c r="Z68" s="19">
        <v>1</v>
      </c>
      <c r="AB68" s="19">
        <v>1</v>
      </c>
      <c r="AE68" s="19">
        <v>1</v>
      </c>
      <c r="AG68" s="16">
        <v>0</v>
      </c>
      <c r="AH68" t="s">
        <v>326</v>
      </c>
      <c r="AI68">
        <v>6</v>
      </c>
      <c r="AJ68" t="s">
        <v>199</v>
      </c>
      <c r="AK68" t="s">
        <v>343</v>
      </c>
      <c r="AL68" t="s">
        <v>353</v>
      </c>
      <c r="AM68" t="s">
        <v>19</v>
      </c>
      <c r="AN68" t="s">
        <v>44</v>
      </c>
    </row>
    <row r="69" spans="1:40">
      <c r="A69" t="s">
        <v>368</v>
      </c>
      <c r="B69" t="s">
        <v>44</v>
      </c>
      <c r="C69" t="s">
        <v>236</v>
      </c>
      <c r="D69" t="s">
        <v>70</v>
      </c>
      <c r="E69" t="s">
        <v>70</v>
      </c>
      <c r="F69" t="s">
        <v>166</v>
      </c>
      <c r="G69" t="s">
        <v>166</v>
      </c>
      <c r="H69" t="s">
        <v>85</v>
      </c>
      <c r="I69" t="s">
        <v>170</v>
      </c>
      <c r="J69" t="s">
        <v>174</v>
      </c>
      <c r="K69" t="s">
        <v>89</v>
      </c>
      <c r="N69" t="s">
        <v>88</v>
      </c>
      <c r="O69" t="s">
        <v>89</v>
      </c>
      <c r="P69" t="s">
        <v>89</v>
      </c>
      <c r="Q69" t="s">
        <v>89</v>
      </c>
      <c r="R69" s="19" t="s">
        <v>88</v>
      </c>
      <c r="Z69" s="19">
        <v>2</v>
      </c>
      <c r="AE69" s="19">
        <v>1</v>
      </c>
      <c r="AG69" s="16">
        <v>0</v>
      </c>
      <c r="AH69" t="s">
        <v>326</v>
      </c>
      <c r="AI69">
        <v>6</v>
      </c>
      <c r="AJ69" t="s">
        <v>199</v>
      </c>
      <c r="AK69" t="s">
        <v>343</v>
      </c>
      <c r="AL69" t="s">
        <v>353</v>
      </c>
      <c r="AM69" t="s">
        <v>19</v>
      </c>
      <c r="AN69" t="s">
        <v>44</v>
      </c>
    </row>
    <row r="70" spans="1:40">
      <c r="A70" t="s">
        <v>368</v>
      </c>
      <c r="B70" t="s">
        <v>44</v>
      </c>
      <c r="C70" t="s">
        <v>236</v>
      </c>
      <c r="D70" t="s">
        <v>62</v>
      </c>
      <c r="E70" t="s">
        <v>62</v>
      </c>
      <c r="F70" t="s">
        <v>166</v>
      </c>
      <c r="G70" t="s">
        <v>166</v>
      </c>
      <c r="H70" t="s">
        <v>85</v>
      </c>
      <c r="I70" t="s">
        <v>169</v>
      </c>
      <c r="J70" t="s">
        <v>173</v>
      </c>
      <c r="K70" t="s">
        <v>89</v>
      </c>
      <c r="N70" t="s">
        <v>88</v>
      </c>
      <c r="O70" t="s">
        <v>89</v>
      </c>
      <c r="P70" t="s">
        <v>89</v>
      </c>
      <c r="Q70" t="s">
        <v>89</v>
      </c>
      <c r="R70" s="19" t="s">
        <v>88</v>
      </c>
      <c r="S70" s="17">
        <v>1</v>
      </c>
      <c r="U70" s="17">
        <v>3</v>
      </c>
      <c r="V70" s="17">
        <v>1</v>
      </c>
      <c r="W70" s="17">
        <v>3</v>
      </c>
      <c r="X70" s="17">
        <v>2</v>
      </c>
      <c r="Z70" s="19">
        <v>1</v>
      </c>
      <c r="AB70" s="19">
        <v>3</v>
      </c>
      <c r="AE70" s="19">
        <v>1</v>
      </c>
      <c r="AG70" s="16">
        <v>0.333333</v>
      </c>
      <c r="AH70" t="s">
        <v>326</v>
      </c>
      <c r="AI70">
        <v>6</v>
      </c>
      <c r="AJ70" t="s">
        <v>199</v>
      </c>
      <c r="AK70" t="s">
        <v>343</v>
      </c>
      <c r="AL70" t="s">
        <v>353</v>
      </c>
      <c r="AM70" t="s">
        <v>19</v>
      </c>
      <c r="AN70" t="s">
        <v>44</v>
      </c>
    </row>
    <row r="71" spans="1:40">
      <c r="A71" t="s">
        <v>368</v>
      </c>
      <c r="B71" t="s">
        <v>44</v>
      </c>
      <c r="C71" t="s">
        <v>236</v>
      </c>
      <c r="D71" t="s">
        <v>59</v>
      </c>
      <c r="E71" t="s">
        <v>59</v>
      </c>
      <c r="F71" t="s">
        <v>166</v>
      </c>
      <c r="G71" t="s">
        <v>166</v>
      </c>
      <c r="H71" t="s">
        <v>85</v>
      </c>
      <c r="I71" t="s">
        <v>167</v>
      </c>
      <c r="J71" t="s">
        <v>171</v>
      </c>
      <c r="K71" t="s">
        <v>89</v>
      </c>
      <c r="N71" t="s">
        <v>88</v>
      </c>
      <c r="O71" t="s">
        <v>89</v>
      </c>
      <c r="P71" t="s">
        <v>89</v>
      </c>
      <c r="Q71" t="s">
        <v>89</v>
      </c>
      <c r="R71" s="19" t="s">
        <v>88</v>
      </c>
      <c r="S71" s="17">
        <v>4</v>
      </c>
      <c r="U71" s="17">
        <v>7</v>
      </c>
      <c r="V71" s="17">
        <v>1</v>
      </c>
      <c r="Z71" s="19">
        <v>1</v>
      </c>
      <c r="AB71" s="19">
        <v>3</v>
      </c>
      <c r="AE71" s="19">
        <v>3</v>
      </c>
      <c r="AG71" s="16">
        <v>0.571429</v>
      </c>
      <c r="AH71" t="s">
        <v>326</v>
      </c>
      <c r="AI71">
        <v>6</v>
      </c>
      <c r="AJ71" t="s">
        <v>199</v>
      </c>
      <c r="AK71" t="s">
        <v>343</v>
      </c>
      <c r="AL71" t="s">
        <v>353</v>
      </c>
      <c r="AM71" t="s">
        <v>19</v>
      </c>
      <c r="AN71" t="s">
        <v>44</v>
      </c>
    </row>
    <row r="72" spans="1:40">
      <c r="A72" t="s">
        <v>368</v>
      </c>
      <c r="B72" t="s">
        <v>44</v>
      </c>
      <c r="C72" t="s">
        <v>236</v>
      </c>
      <c r="D72" t="s">
        <v>110</v>
      </c>
      <c r="E72" t="s">
        <v>110</v>
      </c>
      <c r="F72" t="s">
        <v>180</v>
      </c>
      <c r="G72" t="s">
        <v>180</v>
      </c>
      <c r="H72" t="s">
        <v>85</v>
      </c>
      <c r="I72" t="s">
        <v>181</v>
      </c>
      <c r="J72" t="s">
        <v>180</v>
      </c>
      <c r="K72" t="s">
        <v>89</v>
      </c>
      <c r="N72" t="s">
        <v>88</v>
      </c>
      <c r="O72" t="s">
        <v>89</v>
      </c>
      <c r="P72" t="s">
        <v>89</v>
      </c>
      <c r="Q72" t="s">
        <v>88</v>
      </c>
      <c r="R72" s="19" t="s">
        <v>88</v>
      </c>
      <c r="V72" s="17">
        <v>1</v>
      </c>
      <c r="Y72" s="17">
        <v>5</v>
      </c>
      <c r="AC72" s="19">
        <v>8</v>
      </c>
      <c r="AE72" s="19">
        <v>1</v>
      </c>
      <c r="AF72" s="16">
        <v>0.384615</v>
      </c>
      <c r="AH72" t="s">
        <v>326</v>
      </c>
      <c r="AI72">
        <v>6</v>
      </c>
      <c r="AJ72" t="s">
        <v>199</v>
      </c>
      <c r="AK72" t="s">
        <v>343</v>
      </c>
      <c r="AL72" t="s">
        <v>353</v>
      </c>
      <c r="AM72" t="s">
        <v>19</v>
      </c>
      <c r="AN72" t="s">
        <v>44</v>
      </c>
    </row>
    <row r="73" spans="1:40">
      <c r="A73" t="s">
        <v>368</v>
      </c>
      <c r="B73" t="s">
        <v>44</v>
      </c>
      <c r="C73" t="s">
        <v>236</v>
      </c>
      <c r="D73" t="s">
        <v>111</v>
      </c>
      <c r="E73" t="s">
        <v>111</v>
      </c>
      <c r="F73" t="s">
        <v>180</v>
      </c>
      <c r="G73" t="s">
        <v>180</v>
      </c>
      <c r="H73" t="s">
        <v>86</v>
      </c>
      <c r="I73" t="s">
        <v>181</v>
      </c>
      <c r="J73" t="s">
        <v>180</v>
      </c>
      <c r="K73" t="s">
        <v>89</v>
      </c>
      <c r="N73" t="s">
        <v>88</v>
      </c>
      <c r="O73" t="s">
        <v>89</v>
      </c>
      <c r="P73" t="s">
        <v>89</v>
      </c>
      <c r="Q73" t="s">
        <v>88</v>
      </c>
      <c r="R73" s="19" t="s">
        <v>88</v>
      </c>
      <c r="Y73" s="17">
        <v>2</v>
      </c>
      <c r="AC73" s="19">
        <v>5</v>
      </c>
      <c r="AF73" s="16">
        <v>0.285714</v>
      </c>
      <c r="AH73" t="s">
        <v>326</v>
      </c>
      <c r="AI73">
        <v>6</v>
      </c>
      <c r="AJ73" t="s">
        <v>199</v>
      </c>
      <c r="AK73" t="s">
        <v>343</v>
      </c>
      <c r="AL73" t="s">
        <v>353</v>
      </c>
      <c r="AM73" t="s">
        <v>19</v>
      </c>
      <c r="AN73" t="s">
        <v>44</v>
      </c>
    </row>
    <row r="74" spans="1:40">
      <c r="A74" t="s">
        <v>369</v>
      </c>
      <c r="B74" t="s">
        <v>45</v>
      </c>
      <c r="C74" t="s">
        <v>236</v>
      </c>
      <c r="D74" t="s">
        <v>63</v>
      </c>
      <c r="E74" t="s">
        <v>63</v>
      </c>
      <c r="F74" t="s">
        <v>166</v>
      </c>
      <c r="G74" t="s">
        <v>166</v>
      </c>
      <c r="H74" t="s">
        <v>85</v>
      </c>
      <c r="I74" t="s">
        <v>167</v>
      </c>
      <c r="J74" t="s">
        <v>171</v>
      </c>
      <c r="K74" t="s">
        <v>88</v>
      </c>
      <c r="L74" t="s">
        <v>175</v>
      </c>
      <c r="M74" t="s">
        <v>179</v>
      </c>
      <c r="N74" t="s">
        <v>88</v>
      </c>
      <c r="O74" t="s">
        <v>89</v>
      </c>
      <c r="P74" t="s">
        <v>89</v>
      </c>
      <c r="Q74" t="s">
        <v>89</v>
      </c>
      <c r="R74" s="19" t="s">
        <v>88</v>
      </c>
      <c r="T74" s="17">
        <v>1</v>
      </c>
      <c r="U74" s="17">
        <v>1</v>
      </c>
      <c r="AD74" s="19">
        <v>1</v>
      </c>
      <c r="AE74" s="19">
        <v>2</v>
      </c>
      <c r="AG74" s="16">
        <v>0</v>
      </c>
      <c r="AH74" t="s">
        <v>327</v>
      </c>
      <c r="AI74">
        <v>7</v>
      </c>
      <c r="AJ74" t="s">
        <v>200</v>
      </c>
      <c r="AK74" t="s">
        <v>344</v>
      </c>
      <c r="AL74" t="s">
        <v>353</v>
      </c>
      <c r="AM74" t="s">
        <v>18</v>
      </c>
      <c r="AN74" t="s">
        <v>45</v>
      </c>
    </row>
    <row r="75" spans="1:40">
      <c r="A75" t="s">
        <v>369</v>
      </c>
      <c r="B75" t="s">
        <v>45</v>
      </c>
      <c r="C75" t="s">
        <v>236</v>
      </c>
      <c r="D75" t="s">
        <v>69</v>
      </c>
      <c r="E75" t="s">
        <v>69</v>
      </c>
      <c r="F75" t="s">
        <v>166</v>
      </c>
      <c r="G75" t="s">
        <v>166</v>
      </c>
      <c r="H75" t="s">
        <v>85</v>
      </c>
      <c r="I75" t="s">
        <v>168</v>
      </c>
      <c r="J75" t="s">
        <v>172</v>
      </c>
      <c r="K75" t="s">
        <v>89</v>
      </c>
      <c r="N75" t="s">
        <v>88</v>
      </c>
      <c r="O75" t="s">
        <v>89</v>
      </c>
      <c r="P75" t="s">
        <v>89</v>
      </c>
      <c r="Q75" t="s">
        <v>89</v>
      </c>
      <c r="R75" s="19" t="s">
        <v>88</v>
      </c>
      <c r="T75" s="17">
        <v>2</v>
      </c>
      <c r="U75" s="17">
        <v>1</v>
      </c>
      <c r="W75" s="17">
        <v>1</v>
      </c>
      <c r="AB75" s="19">
        <v>1</v>
      </c>
      <c r="AE75" s="19">
        <v>2</v>
      </c>
      <c r="AG75" s="16">
        <v>0</v>
      </c>
      <c r="AH75" t="s">
        <v>327</v>
      </c>
      <c r="AI75">
        <v>7</v>
      </c>
      <c r="AJ75" t="s">
        <v>200</v>
      </c>
      <c r="AK75" t="s">
        <v>344</v>
      </c>
      <c r="AL75" t="s">
        <v>353</v>
      </c>
      <c r="AM75" t="s">
        <v>18</v>
      </c>
      <c r="AN75" t="s">
        <v>45</v>
      </c>
    </row>
    <row r="76" spans="1:40">
      <c r="A76" t="s">
        <v>369</v>
      </c>
      <c r="B76" t="s">
        <v>45</v>
      </c>
      <c r="C76" t="s">
        <v>236</v>
      </c>
      <c r="D76" t="s">
        <v>60</v>
      </c>
      <c r="E76" t="s">
        <v>60</v>
      </c>
      <c r="F76" t="s">
        <v>166</v>
      </c>
      <c r="G76" t="s">
        <v>166</v>
      </c>
      <c r="H76" t="s">
        <v>85</v>
      </c>
      <c r="I76" t="s">
        <v>167</v>
      </c>
      <c r="J76" t="s">
        <v>171</v>
      </c>
      <c r="K76" t="s">
        <v>88</v>
      </c>
      <c r="L76" t="s">
        <v>176</v>
      </c>
      <c r="M76" t="s">
        <v>138</v>
      </c>
      <c r="N76" t="s">
        <v>88</v>
      </c>
      <c r="O76" t="s">
        <v>89</v>
      </c>
      <c r="P76" t="s">
        <v>89</v>
      </c>
      <c r="Q76" t="s">
        <v>89</v>
      </c>
      <c r="R76" s="19" t="s">
        <v>88</v>
      </c>
      <c r="S76" s="17">
        <v>3</v>
      </c>
      <c r="U76" s="17">
        <v>6</v>
      </c>
      <c r="V76" s="17">
        <v>2</v>
      </c>
      <c r="W76" s="17">
        <v>1</v>
      </c>
      <c r="Z76" s="19">
        <v>1</v>
      </c>
      <c r="AB76" s="19">
        <v>1</v>
      </c>
      <c r="AE76" s="19">
        <v>2</v>
      </c>
      <c r="AG76" s="16">
        <v>0.5</v>
      </c>
      <c r="AH76" t="s">
        <v>327</v>
      </c>
      <c r="AI76">
        <v>7</v>
      </c>
      <c r="AJ76" t="s">
        <v>200</v>
      </c>
      <c r="AK76" t="s">
        <v>344</v>
      </c>
      <c r="AL76" t="s">
        <v>353</v>
      </c>
      <c r="AM76" t="s">
        <v>18</v>
      </c>
      <c r="AN76" t="s">
        <v>45</v>
      </c>
    </row>
    <row r="77" spans="1:40">
      <c r="A77" t="s">
        <v>369</v>
      </c>
      <c r="B77" t="s">
        <v>45</v>
      </c>
      <c r="C77" t="s">
        <v>236</v>
      </c>
      <c r="D77" t="s">
        <v>61</v>
      </c>
      <c r="E77" t="s">
        <v>61</v>
      </c>
      <c r="F77" t="s">
        <v>166</v>
      </c>
      <c r="G77" t="s">
        <v>166</v>
      </c>
      <c r="H77" t="s">
        <v>85</v>
      </c>
      <c r="I77" t="s">
        <v>169</v>
      </c>
      <c r="J77" t="s">
        <v>173</v>
      </c>
      <c r="K77" t="s">
        <v>88</v>
      </c>
      <c r="L77" t="s">
        <v>177</v>
      </c>
      <c r="M77" t="s">
        <v>138</v>
      </c>
      <c r="N77" t="s">
        <v>88</v>
      </c>
      <c r="O77" t="s">
        <v>89</v>
      </c>
      <c r="P77" t="s">
        <v>89</v>
      </c>
      <c r="Q77" t="s">
        <v>89</v>
      </c>
      <c r="R77" s="19" t="s">
        <v>88</v>
      </c>
      <c r="S77" s="17">
        <v>1</v>
      </c>
      <c r="U77" s="17">
        <v>3</v>
      </c>
      <c r="V77" s="17">
        <v>1</v>
      </c>
      <c r="Z77" s="19">
        <v>2</v>
      </c>
      <c r="AD77" s="19">
        <v>1</v>
      </c>
      <c r="AE77" s="19">
        <v>3</v>
      </c>
      <c r="AG77" s="16">
        <v>0.333333</v>
      </c>
      <c r="AH77" t="s">
        <v>327</v>
      </c>
      <c r="AI77">
        <v>7</v>
      </c>
      <c r="AJ77" t="s">
        <v>200</v>
      </c>
      <c r="AK77" t="s">
        <v>344</v>
      </c>
      <c r="AL77" t="s">
        <v>353</v>
      </c>
      <c r="AM77" t="s">
        <v>18</v>
      </c>
      <c r="AN77" t="s">
        <v>45</v>
      </c>
    </row>
    <row r="78" spans="1:40">
      <c r="A78" t="s">
        <v>369</v>
      </c>
      <c r="B78" t="s">
        <v>45</v>
      </c>
      <c r="C78" t="s">
        <v>236</v>
      </c>
      <c r="D78" t="s">
        <v>68</v>
      </c>
      <c r="E78" t="s">
        <v>68</v>
      </c>
      <c r="F78" t="s">
        <v>166</v>
      </c>
      <c r="G78" t="s">
        <v>166</v>
      </c>
      <c r="H78" t="s">
        <v>85</v>
      </c>
      <c r="I78" t="s">
        <v>170</v>
      </c>
      <c r="J78" t="s">
        <v>174</v>
      </c>
      <c r="K78" t="s">
        <v>89</v>
      </c>
      <c r="N78" t="s">
        <v>88</v>
      </c>
      <c r="O78" t="s">
        <v>89</v>
      </c>
      <c r="P78" t="s">
        <v>89</v>
      </c>
      <c r="Q78" t="s">
        <v>89</v>
      </c>
      <c r="R78" s="19" t="s">
        <v>88</v>
      </c>
      <c r="S78" s="17">
        <v>1</v>
      </c>
      <c r="T78" s="17">
        <v>1</v>
      </c>
      <c r="U78" s="17">
        <v>2</v>
      </c>
      <c r="V78" s="17">
        <v>1</v>
      </c>
      <c r="W78" s="17">
        <v>1</v>
      </c>
      <c r="X78" s="17">
        <v>1</v>
      </c>
      <c r="AB78" s="19">
        <v>2</v>
      </c>
      <c r="AD78" s="19">
        <v>1</v>
      </c>
      <c r="AE78" s="19">
        <v>1</v>
      </c>
      <c r="AG78" s="16">
        <v>0.5</v>
      </c>
      <c r="AH78" t="s">
        <v>327</v>
      </c>
      <c r="AI78">
        <v>7</v>
      </c>
      <c r="AJ78" t="s">
        <v>200</v>
      </c>
      <c r="AK78" t="s">
        <v>344</v>
      </c>
      <c r="AL78" t="s">
        <v>353</v>
      </c>
      <c r="AM78" t="s">
        <v>18</v>
      </c>
      <c r="AN78" t="s">
        <v>45</v>
      </c>
    </row>
    <row r="79" spans="1:40">
      <c r="A79" t="s">
        <v>369</v>
      </c>
      <c r="B79" t="s">
        <v>45</v>
      </c>
      <c r="C79" t="s">
        <v>236</v>
      </c>
      <c r="D79" t="s">
        <v>65</v>
      </c>
      <c r="E79" t="s">
        <v>65</v>
      </c>
      <c r="F79" t="s">
        <v>166</v>
      </c>
      <c r="G79" t="s">
        <v>166</v>
      </c>
      <c r="H79" t="s">
        <v>86</v>
      </c>
      <c r="I79" t="s">
        <v>170</v>
      </c>
      <c r="J79" t="s">
        <v>174</v>
      </c>
      <c r="K79" t="s">
        <v>89</v>
      </c>
      <c r="N79" t="s">
        <v>88</v>
      </c>
      <c r="O79" t="s">
        <v>89</v>
      </c>
      <c r="P79" t="s">
        <v>89</v>
      </c>
      <c r="Q79" t="s">
        <v>89</v>
      </c>
      <c r="R79" s="19" t="s">
        <v>88</v>
      </c>
      <c r="S79" s="17">
        <v>1</v>
      </c>
      <c r="U79" s="17">
        <v>7</v>
      </c>
      <c r="V79" s="17">
        <v>1</v>
      </c>
      <c r="X79" s="17">
        <v>2</v>
      </c>
      <c r="AB79" s="19">
        <v>1</v>
      </c>
      <c r="AE79" s="19">
        <v>1</v>
      </c>
      <c r="AG79" s="16">
        <v>0.142857</v>
      </c>
      <c r="AH79" t="s">
        <v>327</v>
      </c>
      <c r="AI79">
        <v>7</v>
      </c>
      <c r="AJ79" t="s">
        <v>200</v>
      </c>
      <c r="AK79" t="s">
        <v>344</v>
      </c>
      <c r="AL79" t="s">
        <v>353</v>
      </c>
      <c r="AM79" t="s">
        <v>18</v>
      </c>
      <c r="AN79" t="s">
        <v>45</v>
      </c>
    </row>
    <row r="80" spans="1:40">
      <c r="A80" t="s">
        <v>369</v>
      </c>
      <c r="B80" t="s">
        <v>45</v>
      </c>
      <c r="C80" t="s">
        <v>236</v>
      </c>
      <c r="D80" t="s">
        <v>64</v>
      </c>
      <c r="E80" t="s">
        <v>64</v>
      </c>
      <c r="F80" t="s">
        <v>166</v>
      </c>
      <c r="G80" t="s">
        <v>166</v>
      </c>
      <c r="H80" t="s">
        <v>85</v>
      </c>
      <c r="I80" t="s">
        <v>168</v>
      </c>
      <c r="J80" t="s">
        <v>172</v>
      </c>
      <c r="K80" t="s">
        <v>88</v>
      </c>
      <c r="L80" t="s">
        <v>178</v>
      </c>
      <c r="M80" t="s">
        <v>138</v>
      </c>
      <c r="N80" t="s">
        <v>88</v>
      </c>
      <c r="O80" t="s">
        <v>89</v>
      </c>
      <c r="P80" t="s">
        <v>89</v>
      </c>
      <c r="Q80" t="s">
        <v>89</v>
      </c>
      <c r="R80" s="19" t="s">
        <v>88</v>
      </c>
      <c r="S80" s="17">
        <v>1</v>
      </c>
      <c r="U80" s="17">
        <v>2</v>
      </c>
      <c r="V80" s="17">
        <v>1</v>
      </c>
      <c r="W80" s="17">
        <v>5</v>
      </c>
      <c r="X80" s="17">
        <v>3</v>
      </c>
      <c r="Z80" s="19">
        <v>3</v>
      </c>
      <c r="AB80" s="19">
        <v>1</v>
      </c>
      <c r="AE80" s="19">
        <v>1</v>
      </c>
      <c r="AG80" s="16">
        <v>0.5</v>
      </c>
      <c r="AH80" t="s">
        <v>327</v>
      </c>
      <c r="AI80">
        <v>7</v>
      </c>
      <c r="AJ80" t="s">
        <v>200</v>
      </c>
      <c r="AK80" t="s">
        <v>344</v>
      </c>
      <c r="AL80" t="s">
        <v>353</v>
      </c>
      <c r="AM80" t="s">
        <v>18</v>
      </c>
      <c r="AN80" t="s">
        <v>45</v>
      </c>
    </row>
    <row r="81" spans="1:40">
      <c r="A81" t="s">
        <v>369</v>
      </c>
      <c r="B81" t="s">
        <v>45</v>
      </c>
      <c r="C81" t="s">
        <v>236</v>
      </c>
      <c r="D81" t="s">
        <v>129</v>
      </c>
      <c r="E81" t="s">
        <v>129</v>
      </c>
      <c r="F81" t="s">
        <v>166</v>
      </c>
      <c r="G81" t="s">
        <v>166</v>
      </c>
      <c r="H81" t="s">
        <v>85</v>
      </c>
      <c r="I81" t="s">
        <v>170</v>
      </c>
      <c r="J81" t="s">
        <v>174</v>
      </c>
      <c r="K81" t="s">
        <v>89</v>
      </c>
      <c r="N81" t="s">
        <v>88</v>
      </c>
      <c r="O81" t="s">
        <v>89</v>
      </c>
      <c r="P81" t="s">
        <v>88</v>
      </c>
      <c r="Q81" t="s">
        <v>89</v>
      </c>
      <c r="R81" s="19" t="s">
        <v>88</v>
      </c>
      <c r="AG81" s="16">
        <v>0</v>
      </c>
      <c r="AH81" t="s">
        <v>327</v>
      </c>
      <c r="AI81">
        <v>7</v>
      </c>
      <c r="AJ81" t="s">
        <v>200</v>
      </c>
      <c r="AK81" t="s">
        <v>344</v>
      </c>
      <c r="AL81" t="s">
        <v>353</v>
      </c>
      <c r="AM81" t="s">
        <v>18</v>
      </c>
      <c r="AN81" t="s">
        <v>45</v>
      </c>
    </row>
    <row r="82" spans="1:40">
      <c r="A82" t="s">
        <v>369</v>
      </c>
      <c r="B82" t="s">
        <v>45</v>
      </c>
      <c r="C82" t="s">
        <v>236</v>
      </c>
      <c r="D82" t="s">
        <v>66</v>
      </c>
      <c r="E82" t="s">
        <v>66</v>
      </c>
      <c r="F82" t="s">
        <v>166</v>
      </c>
      <c r="G82" t="s">
        <v>166</v>
      </c>
      <c r="H82" t="s">
        <v>85</v>
      </c>
      <c r="I82" t="s">
        <v>167</v>
      </c>
      <c r="J82" t="s">
        <v>171</v>
      </c>
      <c r="K82" t="s">
        <v>89</v>
      </c>
      <c r="N82" t="s">
        <v>88</v>
      </c>
      <c r="O82" t="s">
        <v>89</v>
      </c>
      <c r="P82" t="s">
        <v>89</v>
      </c>
      <c r="Q82" t="s">
        <v>89</v>
      </c>
      <c r="R82" s="19" t="s">
        <v>88</v>
      </c>
      <c r="S82" s="17">
        <v>1</v>
      </c>
      <c r="U82" s="17">
        <v>3</v>
      </c>
      <c r="AB82" s="19">
        <v>1</v>
      </c>
      <c r="AE82" s="19">
        <v>2</v>
      </c>
      <c r="AG82" s="16">
        <v>0.333333</v>
      </c>
      <c r="AH82" t="s">
        <v>327</v>
      </c>
      <c r="AI82">
        <v>7</v>
      </c>
      <c r="AJ82" t="s">
        <v>200</v>
      </c>
      <c r="AK82" t="s">
        <v>344</v>
      </c>
      <c r="AL82" t="s">
        <v>353</v>
      </c>
      <c r="AM82" t="s">
        <v>18</v>
      </c>
      <c r="AN82" t="s">
        <v>45</v>
      </c>
    </row>
    <row r="83" spans="1:40">
      <c r="A83" t="s">
        <v>369</v>
      </c>
      <c r="B83" t="s">
        <v>45</v>
      </c>
      <c r="C83" t="s">
        <v>236</v>
      </c>
      <c r="D83" t="s">
        <v>70</v>
      </c>
      <c r="E83" t="s">
        <v>70</v>
      </c>
      <c r="F83" t="s">
        <v>166</v>
      </c>
      <c r="G83" t="s">
        <v>166</v>
      </c>
      <c r="H83" t="s">
        <v>85</v>
      </c>
      <c r="I83" t="s">
        <v>170</v>
      </c>
      <c r="J83" t="s">
        <v>174</v>
      </c>
      <c r="K83" t="s">
        <v>89</v>
      </c>
      <c r="N83" t="s">
        <v>88</v>
      </c>
      <c r="O83" t="s">
        <v>89</v>
      </c>
      <c r="P83" t="s">
        <v>89</v>
      </c>
      <c r="Q83" t="s">
        <v>89</v>
      </c>
      <c r="R83" s="19" t="s">
        <v>88</v>
      </c>
      <c r="T83" s="17">
        <v>1</v>
      </c>
      <c r="V83" s="17">
        <v>1</v>
      </c>
      <c r="X83" s="17">
        <v>1</v>
      </c>
      <c r="AG83" s="16">
        <v>0</v>
      </c>
      <c r="AH83" t="s">
        <v>327</v>
      </c>
      <c r="AI83">
        <v>7</v>
      </c>
      <c r="AJ83" t="s">
        <v>200</v>
      </c>
      <c r="AK83" t="s">
        <v>344</v>
      </c>
      <c r="AL83" t="s">
        <v>353</v>
      </c>
      <c r="AM83" t="s">
        <v>18</v>
      </c>
      <c r="AN83" t="s">
        <v>45</v>
      </c>
    </row>
    <row r="84" spans="1:40">
      <c r="A84" t="s">
        <v>369</v>
      </c>
      <c r="B84" t="s">
        <v>45</v>
      </c>
      <c r="C84" t="s">
        <v>236</v>
      </c>
      <c r="D84" t="s">
        <v>62</v>
      </c>
      <c r="E84" t="s">
        <v>62</v>
      </c>
      <c r="F84" t="s">
        <v>166</v>
      </c>
      <c r="G84" t="s">
        <v>166</v>
      </c>
      <c r="H84" t="s">
        <v>85</v>
      </c>
      <c r="I84" t="s">
        <v>169</v>
      </c>
      <c r="J84" t="s">
        <v>173</v>
      </c>
      <c r="K84" t="s">
        <v>89</v>
      </c>
      <c r="N84" t="s">
        <v>88</v>
      </c>
      <c r="O84" t="s">
        <v>89</v>
      </c>
      <c r="P84" t="s">
        <v>89</v>
      </c>
      <c r="Q84" t="s">
        <v>89</v>
      </c>
      <c r="R84" s="19" t="s">
        <v>88</v>
      </c>
      <c r="U84" s="17">
        <v>1</v>
      </c>
      <c r="AB84" s="19">
        <v>1</v>
      </c>
      <c r="AE84" s="19">
        <v>1</v>
      </c>
      <c r="AG84" s="16">
        <v>0</v>
      </c>
      <c r="AH84" t="s">
        <v>327</v>
      </c>
      <c r="AI84">
        <v>7</v>
      </c>
      <c r="AJ84" t="s">
        <v>200</v>
      </c>
      <c r="AK84" t="s">
        <v>344</v>
      </c>
      <c r="AL84" t="s">
        <v>353</v>
      </c>
      <c r="AM84" t="s">
        <v>18</v>
      </c>
      <c r="AN84" t="s">
        <v>45</v>
      </c>
    </row>
    <row r="85" spans="1:40">
      <c r="A85" t="s">
        <v>369</v>
      </c>
      <c r="B85" t="s">
        <v>45</v>
      </c>
      <c r="C85" t="s">
        <v>236</v>
      </c>
      <c r="D85" t="s">
        <v>59</v>
      </c>
      <c r="E85" t="s">
        <v>59</v>
      </c>
      <c r="F85" t="s">
        <v>166</v>
      </c>
      <c r="G85" t="s">
        <v>166</v>
      </c>
      <c r="H85" t="s">
        <v>85</v>
      </c>
      <c r="I85" t="s">
        <v>167</v>
      </c>
      <c r="J85" t="s">
        <v>171</v>
      </c>
      <c r="K85" t="s">
        <v>89</v>
      </c>
      <c r="N85" t="s">
        <v>88</v>
      </c>
      <c r="O85" t="s">
        <v>89</v>
      </c>
      <c r="P85" t="s">
        <v>89</v>
      </c>
      <c r="Q85" t="s">
        <v>89</v>
      </c>
      <c r="R85" s="19" t="s">
        <v>88</v>
      </c>
      <c r="S85" s="17">
        <v>2</v>
      </c>
      <c r="T85" s="17">
        <v>1</v>
      </c>
      <c r="U85" s="17">
        <v>7</v>
      </c>
      <c r="W85" s="17">
        <v>1</v>
      </c>
      <c r="Z85" s="19">
        <v>2</v>
      </c>
      <c r="AB85" s="19">
        <v>2</v>
      </c>
      <c r="AD85" s="19">
        <v>2</v>
      </c>
      <c r="AE85" s="19">
        <v>2</v>
      </c>
      <c r="AG85" s="16">
        <v>0.285714</v>
      </c>
      <c r="AH85" t="s">
        <v>327</v>
      </c>
      <c r="AI85">
        <v>7</v>
      </c>
      <c r="AJ85" t="s">
        <v>200</v>
      </c>
      <c r="AK85" t="s">
        <v>344</v>
      </c>
      <c r="AL85" t="s">
        <v>353</v>
      </c>
      <c r="AM85" t="s">
        <v>18</v>
      </c>
      <c r="AN85" t="s">
        <v>45</v>
      </c>
    </row>
    <row r="86" spans="1:40">
      <c r="A86" t="s">
        <v>369</v>
      </c>
      <c r="B86" t="s">
        <v>45</v>
      </c>
      <c r="C86" t="s">
        <v>236</v>
      </c>
      <c r="D86" t="s">
        <v>110</v>
      </c>
      <c r="E86" t="s">
        <v>110</v>
      </c>
      <c r="F86" t="s">
        <v>180</v>
      </c>
      <c r="G86" t="s">
        <v>180</v>
      </c>
      <c r="H86" t="s">
        <v>85</v>
      </c>
      <c r="I86" t="s">
        <v>181</v>
      </c>
      <c r="J86" t="s">
        <v>180</v>
      </c>
      <c r="K86" t="s">
        <v>89</v>
      </c>
      <c r="N86" t="s">
        <v>88</v>
      </c>
      <c r="O86" t="s">
        <v>89</v>
      </c>
      <c r="P86" t="s">
        <v>89</v>
      </c>
      <c r="Q86" t="s">
        <v>88</v>
      </c>
      <c r="R86" s="19" t="s">
        <v>88</v>
      </c>
      <c r="T86" s="17">
        <v>1</v>
      </c>
      <c r="Y86" s="17">
        <v>12</v>
      </c>
      <c r="AC86" s="19">
        <v>11</v>
      </c>
      <c r="AF86" s="16">
        <v>0.521739</v>
      </c>
      <c r="AH86" t="s">
        <v>327</v>
      </c>
      <c r="AI86">
        <v>7</v>
      </c>
      <c r="AJ86" t="s">
        <v>200</v>
      </c>
      <c r="AK86" t="s">
        <v>344</v>
      </c>
      <c r="AL86" t="s">
        <v>353</v>
      </c>
      <c r="AM86" t="s">
        <v>18</v>
      </c>
      <c r="AN86" t="s">
        <v>45</v>
      </c>
    </row>
    <row r="87" spans="1:40">
      <c r="A87" t="s">
        <v>369</v>
      </c>
      <c r="B87" t="s">
        <v>45</v>
      </c>
      <c r="C87" t="s">
        <v>236</v>
      </c>
      <c r="D87" t="s">
        <v>111</v>
      </c>
      <c r="E87" t="s">
        <v>111</v>
      </c>
      <c r="F87" t="s">
        <v>180</v>
      </c>
      <c r="G87" t="s">
        <v>180</v>
      </c>
      <c r="H87" t="s">
        <v>86</v>
      </c>
      <c r="I87" t="s">
        <v>181</v>
      </c>
      <c r="J87" t="s">
        <v>180</v>
      </c>
      <c r="K87" t="s">
        <v>89</v>
      </c>
      <c r="N87" t="s">
        <v>88</v>
      </c>
      <c r="O87" t="s">
        <v>89</v>
      </c>
      <c r="P87" t="s">
        <v>88</v>
      </c>
      <c r="Q87" t="s">
        <v>89</v>
      </c>
      <c r="R87" s="19" t="s">
        <v>88</v>
      </c>
      <c r="AF87" s="16">
        <v>0</v>
      </c>
      <c r="AH87" t="s">
        <v>327</v>
      </c>
      <c r="AI87">
        <v>7</v>
      </c>
      <c r="AJ87" t="s">
        <v>200</v>
      </c>
      <c r="AK87" t="s">
        <v>344</v>
      </c>
      <c r="AL87" t="s">
        <v>353</v>
      </c>
      <c r="AM87" t="s">
        <v>18</v>
      </c>
      <c r="AN87" t="s">
        <v>45</v>
      </c>
    </row>
    <row r="88" spans="1:40">
      <c r="A88" t="s">
        <v>370</v>
      </c>
      <c r="B88" t="s">
        <v>50</v>
      </c>
      <c r="C88" t="s">
        <v>236</v>
      </c>
      <c r="D88" t="s">
        <v>63</v>
      </c>
      <c r="E88" t="s">
        <v>63</v>
      </c>
      <c r="F88" t="s">
        <v>166</v>
      </c>
      <c r="G88" t="s">
        <v>166</v>
      </c>
      <c r="H88" t="s">
        <v>85</v>
      </c>
      <c r="I88" t="s">
        <v>167</v>
      </c>
      <c r="J88" t="s">
        <v>171</v>
      </c>
      <c r="K88" t="s">
        <v>88</v>
      </c>
      <c r="L88" t="s">
        <v>175</v>
      </c>
      <c r="M88" t="s">
        <v>179</v>
      </c>
      <c r="N88" t="s">
        <v>88</v>
      </c>
      <c r="O88" t="s">
        <v>89</v>
      </c>
      <c r="P88" t="s">
        <v>89</v>
      </c>
      <c r="Q88" t="s">
        <v>89</v>
      </c>
      <c r="R88" s="19" t="s">
        <v>88</v>
      </c>
      <c r="S88" s="17">
        <v>2</v>
      </c>
      <c r="T88" s="17">
        <v>2</v>
      </c>
      <c r="U88" s="17">
        <v>4</v>
      </c>
      <c r="V88" s="17">
        <v>1</v>
      </c>
      <c r="AB88" s="19">
        <v>1</v>
      </c>
      <c r="AD88" s="19">
        <v>1</v>
      </c>
      <c r="AG88" s="16">
        <v>0.5</v>
      </c>
      <c r="AH88" t="s">
        <v>328</v>
      </c>
      <c r="AI88">
        <v>8</v>
      </c>
      <c r="AJ88" t="s">
        <v>201</v>
      </c>
      <c r="AK88" t="s">
        <v>345</v>
      </c>
      <c r="AL88" t="s">
        <v>357</v>
      </c>
      <c r="AM88" t="s">
        <v>19</v>
      </c>
      <c r="AN88" t="s">
        <v>50</v>
      </c>
    </row>
    <row r="89" spans="1:40">
      <c r="A89" t="s">
        <v>370</v>
      </c>
      <c r="B89" t="s">
        <v>50</v>
      </c>
      <c r="C89" t="s">
        <v>236</v>
      </c>
      <c r="D89" t="s">
        <v>69</v>
      </c>
      <c r="E89" t="s">
        <v>69</v>
      </c>
      <c r="F89" t="s">
        <v>166</v>
      </c>
      <c r="G89" t="s">
        <v>166</v>
      </c>
      <c r="H89" t="s">
        <v>85</v>
      </c>
      <c r="I89" t="s">
        <v>168</v>
      </c>
      <c r="J89" t="s">
        <v>172</v>
      </c>
      <c r="K89" t="s">
        <v>89</v>
      </c>
      <c r="N89" t="s">
        <v>88</v>
      </c>
      <c r="O89" t="s">
        <v>89</v>
      </c>
      <c r="P89" t="s">
        <v>89</v>
      </c>
      <c r="Q89" t="s">
        <v>89</v>
      </c>
      <c r="R89" s="19" t="s">
        <v>88</v>
      </c>
      <c r="Z89" s="19">
        <v>1</v>
      </c>
      <c r="AE89" s="19">
        <v>1</v>
      </c>
      <c r="AG89" s="16">
        <v>0</v>
      </c>
      <c r="AH89" t="s">
        <v>328</v>
      </c>
      <c r="AI89">
        <v>8</v>
      </c>
      <c r="AJ89" t="s">
        <v>201</v>
      </c>
      <c r="AK89" t="s">
        <v>345</v>
      </c>
      <c r="AL89" t="s">
        <v>357</v>
      </c>
      <c r="AM89" t="s">
        <v>19</v>
      </c>
      <c r="AN89" t="s">
        <v>50</v>
      </c>
    </row>
    <row r="90" spans="1:40">
      <c r="A90" t="s">
        <v>370</v>
      </c>
      <c r="B90" t="s">
        <v>50</v>
      </c>
      <c r="C90" t="s">
        <v>236</v>
      </c>
      <c r="D90" t="s">
        <v>60</v>
      </c>
      <c r="E90" t="s">
        <v>60</v>
      </c>
      <c r="F90" t="s">
        <v>166</v>
      </c>
      <c r="G90" t="s">
        <v>166</v>
      </c>
      <c r="H90" t="s">
        <v>85</v>
      </c>
      <c r="I90" t="s">
        <v>167</v>
      </c>
      <c r="J90" t="s">
        <v>171</v>
      </c>
      <c r="K90" t="s">
        <v>88</v>
      </c>
      <c r="L90" t="s">
        <v>176</v>
      </c>
      <c r="M90" t="s">
        <v>138</v>
      </c>
      <c r="N90" t="s">
        <v>88</v>
      </c>
      <c r="O90" t="s">
        <v>89</v>
      </c>
      <c r="P90" t="s">
        <v>89</v>
      </c>
      <c r="Q90" t="s">
        <v>89</v>
      </c>
      <c r="R90" s="19" t="s">
        <v>88</v>
      </c>
      <c r="T90" s="17">
        <v>1</v>
      </c>
      <c r="U90" s="17">
        <v>3</v>
      </c>
      <c r="V90" s="17">
        <v>1</v>
      </c>
      <c r="W90" s="17">
        <v>1</v>
      </c>
      <c r="AB90" s="19">
        <v>3</v>
      </c>
      <c r="AD90" s="19">
        <v>1</v>
      </c>
      <c r="AE90" s="19">
        <v>2</v>
      </c>
      <c r="AG90" s="16">
        <v>0</v>
      </c>
      <c r="AH90" t="s">
        <v>328</v>
      </c>
      <c r="AI90">
        <v>8</v>
      </c>
      <c r="AJ90" t="s">
        <v>201</v>
      </c>
      <c r="AK90" t="s">
        <v>345</v>
      </c>
      <c r="AL90" t="s">
        <v>357</v>
      </c>
      <c r="AM90" t="s">
        <v>19</v>
      </c>
      <c r="AN90" t="s">
        <v>50</v>
      </c>
    </row>
    <row r="91" spans="1:40">
      <c r="A91" t="s">
        <v>370</v>
      </c>
      <c r="B91" t="s">
        <v>50</v>
      </c>
      <c r="C91" t="s">
        <v>236</v>
      </c>
      <c r="D91" t="s">
        <v>61</v>
      </c>
      <c r="E91" t="s">
        <v>61</v>
      </c>
      <c r="F91" t="s">
        <v>166</v>
      </c>
      <c r="G91" t="s">
        <v>166</v>
      </c>
      <c r="H91" t="s">
        <v>85</v>
      </c>
      <c r="I91" t="s">
        <v>169</v>
      </c>
      <c r="J91" t="s">
        <v>173</v>
      </c>
      <c r="K91" t="s">
        <v>88</v>
      </c>
      <c r="L91" t="s">
        <v>177</v>
      </c>
      <c r="M91" t="s">
        <v>138</v>
      </c>
      <c r="N91" t="s">
        <v>88</v>
      </c>
      <c r="O91" t="s">
        <v>89</v>
      </c>
      <c r="P91" t="s">
        <v>89</v>
      </c>
      <c r="Q91" t="s">
        <v>89</v>
      </c>
      <c r="R91" s="19" t="s">
        <v>88</v>
      </c>
      <c r="T91" s="17">
        <v>2</v>
      </c>
      <c r="U91" s="17">
        <v>3</v>
      </c>
      <c r="V91" s="17">
        <v>1</v>
      </c>
      <c r="W91" s="17">
        <v>7</v>
      </c>
      <c r="Z91" s="19">
        <v>1</v>
      </c>
      <c r="AB91" s="19">
        <v>1</v>
      </c>
      <c r="AE91" s="19">
        <v>1</v>
      </c>
      <c r="AG91" s="16">
        <v>0</v>
      </c>
      <c r="AH91" t="s">
        <v>328</v>
      </c>
      <c r="AI91">
        <v>8</v>
      </c>
      <c r="AJ91" t="s">
        <v>201</v>
      </c>
      <c r="AK91" t="s">
        <v>345</v>
      </c>
      <c r="AL91" t="s">
        <v>357</v>
      </c>
      <c r="AM91" t="s">
        <v>19</v>
      </c>
      <c r="AN91" t="s">
        <v>50</v>
      </c>
    </row>
    <row r="92" spans="1:40">
      <c r="A92" t="s">
        <v>370</v>
      </c>
      <c r="B92" t="s">
        <v>50</v>
      </c>
      <c r="C92" t="s">
        <v>236</v>
      </c>
      <c r="D92" t="s">
        <v>68</v>
      </c>
      <c r="E92" t="s">
        <v>68</v>
      </c>
      <c r="F92" t="s">
        <v>166</v>
      </c>
      <c r="G92" t="s">
        <v>166</v>
      </c>
      <c r="H92" t="s">
        <v>85</v>
      </c>
      <c r="I92" t="s">
        <v>170</v>
      </c>
      <c r="J92" t="s">
        <v>174</v>
      </c>
      <c r="K92" t="s">
        <v>89</v>
      </c>
      <c r="N92" t="s">
        <v>88</v>
      </c>
      <c r="O92" t="s">
        <v>89</v>
      </c>
      <c r="P92" t="s">
        <v>89</v>
      </c>
      <c r="Q92" t="s">
        <v>89</v>
      </c>
      <c r="R92" s="19" t="s">
        <v>88</v>
      </c>
      <c r="S92" s="17">
        <v>2</v>
      </c>
      <c r="T92" s="17">
        <v>3</v>
      </c>
      <c r="U92" s="17">
        <v>3</v>
      </c>
      <c r="V92" s="17">
        <v>1</v>
      </c>
      <c r="Z92" s="19">
        <v>2</v>
      </c>
      <c r="AB92" s="19">
        <v>1</v>
      </c>
      <c r="AG92" s="16">
        <v>0.666667</v>
      </c>
      <c r="AH92" t="s">
        <v>328</v>
      </c>
      <c r="AI92">
        <v>8</v>
      </c>
      <c r="AJ92" t="s">
        <v>201</v>
      </c>
      <c r="AK92" t="s">
        <v>345</v>
      </c>
      <c r="AL92" t="s">
        <v>357</v>
      </c>
      <c r="AM92" t="s">
        <v>19</v>
      </c>
      <c r="AN92" t="s">
        <v>50</v>
      </c>
    </row>
    <row r="93" spans="1:40">
      <c r="A93" t="s">
        <v>370</v>
      </c>
      <c r="B93" t="s">
        <v>50</v>
      </c>
      <c r="C93" t="s">
        <v>236</v>
      </c>
      <c r="D93" t="s">
        <v>65</v>
      </c>
      <c r="E93" t="s">
        <v>65</v>
      </c>
      <c r="F93" t="s">
        <v>166</v>
      </c>
      <c r="G93" t="s">
        <v>166</v>
      </c>
      <c r="H93" t="s">
        <v>86</v>
      </c>
      <c r="I93" t="s">
        <v>170</v>
      </c>
      <c r="J93" t="s">
        <v>174</v>
      </c>
      <c r="K93" t="s">
        <v>89</v>
      </c>
      <c r="N93" t="s">
        <v>88</v>
      </c>
      <c r="O93" t="s">
        <v>89</v>
      </c>
      <c r="P93" t="s">
        <v>89</v>
      </c>
      <c r="Q93" t="s">
        <v>89</v>
      </c>
      <c r="R93" s="19" t="s">
        <v>88</v>
      </c>
      <c r="AD93" s="19">
        <v>2</v>
      </c>
      <c r="AG93" s="16">
        <v>0</v>
      </c>
      <c r="AH93" t="s">
        <v>328</v>
      </c>
      <c r="AI93">
        <v>8</v>
      </c>
      <c r="AJ93" t="s">
        <v>201</v>
      </c>
      <c r="AK93" t="s">
        <v>345</v>
      </c>
      <c r="AL93" t="s">
        <v>357</v>
      </c>
      <c r="AM93" t="s">
        <v>19</v>
      </c>
      <c r="AN93" t="s">
        <v>50</v>
      </c>
    </row>
    <row r="94" spans="1:40">
      <c r="A94" t="s">
        <v>370</v>
      </c>
      <c r="B94" t="s">
        <v>50</v>
      </c>
      <c r="C94" t="s">
        <v>236</v>
      </c>
      <c r="D94" t="s">
        <v>64</v>
      </c>
      <c r="E94" t="s">
        <v>64</v>
      </c>
      <c r="F94" t="s">
        <v>166</v>
      </c>
      <c r="G94" t="s">
        <v>166</v>
      </c>
      <c r="H94" t="s">
        <v>85</v>
      </c>
      <c r="I94" t="s">
        <v>168</v>
      </c>
      <c r="J94" t="s">
        <v>172</v>
      </c>
      <c r="K94" t="s">
        <v>88</v>
      </c>
      <c r="L94" t="s">
        <v>178</v>
      </c>
      <c r="M94" t="s">
        <v>138</v>
      </c>
      <c r="N94" t="s">
        <v>88</v>
      </c>
      <c r="O94" t="s">
        <v>89</v>
      </c>
      <c r="P94" t="s">
        <v>89</v>
      </c>
      <c r="Q94" t="s">
        <v>89</v>
      </c>
      <c r="R94" s="19" t="s">
        <v>88</v>
      </c>
      <c r="S94" s="17">
        <v>2</v>
      </c>
      <c r="U94" s="17">
        <v>5</v>
      </c>
      <c r="V94" s="17">
        <v>1</v>
      </c>
      <c r="W94" s="17">
        <v>2</v>
      </c>
      <c r="Z94" s="19">
        <v>2</v>
      </c>
      <c r="AB94" s="19">
        <v>1</v>
      </c>
      <c r="AD94" s="19">
        <v>1</v>
      </c>
      <c r="AE94" s="19">
        <v>2</v>
      </c>
      <c r="AG94" s="16">
        <v>0.4</v>
      </c>
      <c r="AH94" t="s">
        <v>328</v>
      </c>
      <c r="AI94">
        <v>8</v>
      </c>
      <c r="AJ94" t="s">
        <v>201</v>
      </c>
      <c r="AK94" t="s">
        <v>345</v>
      </c>
      <c r="AL94" t="s">
        <v>357</v>
      </c>
      <c r="AM94" t="s">
        <v>19</v>
      </c>
      <c r="AN94" t="s">
        <v>50</v>
      </c>
    </row>
    <row r="95" spans="1:40">
      <c r="A95" t="s">
        <v>370</v>
      </c>
      <c r="B95" t="s">
        <v>50</v>
      </c>
      <c r="C95" t="s">
        <v>236</v>
      </c>
      <c r="D95" t="s">
        <v>71</v>
      </c>
      <c r="E95" t="s">
        <v>71</v>
      </c>
      <c r="F95" t="s">
        <v>166</v>
      </c>
      <c r="G95" t="s">
        <v>166</v>
      </c>
      <c r="H95" t="s">
        <v>85</v>
      </c>
      <c r="I95" t="s">
        <v>170</v>
      </c>
      <c r="J95" t="s">
        <v>174</v>
      </c>
      <c r="K95" t="s">
        <v>89</v>
      </c>
      <c r="N95" t="s">
        <v>88</v>
      </c>
      <c r="O95" t="s">
        <v>89</v>
      </c>
      <c r="P95" t="s">
        <v>89</v>
      </c>
      <c r="Q95" t="s">
        <v>89</v>
      </c>
      <c r="R95" s="19" t="s">
        <v>88</v>
      </c>
      <c r="S95" s="17">
        <v>2</v>
      </c>
      <c r="T95" s="17">
        <v>3</v>
      </c>
      <c r="U95" s="17">
        <v>3</v>
      </c>
      <c r="AB95" s="19">
        <v>1</v>
      </c>
      <c r="AG95" s="16">
        <v>0.666667</v>
      </c>
      <c r="AH95" t="s">
        <v>328</v>
      </c>
      <c r="AI95">
        <v>8</v>
      </c>
      <c r="AJ95" t="s">
        <v>201</v>
      </c>
      <c r="AK95" t="s">
        <v>345</v>
      </c>
      <c r="AL95" t="s">
        <v>357</v>
      </c>
      <c r="AM95" t="s">
        <v>19</v>
      </c>
      <c r="AN95" t="s">
        <v>50</v>
      </c>
    </row>
    <row r="96" spans="1:40">
      <c r="A96" t="s">
        <v>370</v>
      </c>
      <c r="B96" t="s">
        <v>50</v>
      </c>
      <c r="C96" t="s">
        <v>236</v>
      </c>
      <c r="D96" t="s">
        <v>66</v>
      </c>
      <c r="E96" t="s">
        <v>66</v>
      </c>
      <c r="F96" t="s">
        <v>166</v>
      </c>
      <c r="G96" t="s">
        <v>166</v>
      </c>
      <c r="H96" t="s">
        <v>85</v>
      </c>
      <c r="I96" t="s">
        <v>167</v>
      </c>
      <c r="J96" t="s">
        <v>171</v>
      </c>
      <c r="K96" t="s">
        <v>89</v>
      </c>
      <c r="N96" t="s">
        <v>88</v>
      </c>
      <c r="O96" t="s">
        <v>89</v>
      </c>
      <c r="P96" t="s">
        <v>89</v>
      </c>
      <c r="Q96" t="s">
        <v>89</v>
      </c>
      <c r="R96" s="19" t="s">
        <v>88</v>
      </c>
      <c r="S96" s="17">
        <v>2</v>
      </c>
      <c r="U96" s="17">
        <v>3</v>
      </c>
      <c r="AE96" s="19">
        <v>1</v>
      </c>
      <c r="AG96" s="16">
        <v>0.666667</v>
      </c>
      <c r="AH96" t="s">
        <v>328</v>
      </c>
      <c r="AI96">
        <v>8</v>
      </c>
      <c r="AJ96" t="s">
        <v>201</v>
      </c>
      <c r="AK96" t="s">
        <v>345</v>
      </c>
      <c r="AL96" t="s">
        <v>357</v>
      </c>
      <c r="AM96" t="s">
        <v>19</v>
      </c>
      <c r="AN96" t="s">
        <v>50</v>
      </c>
    </row>
    <row r="97" spans="1:40">
      <c r="A97" t="s">
        <v>370</v>
      </c>
      <c r="B97" t="s">
        <v>50</v>
      </c>
      <c r="C97" t="s">
        <v>236</v>
      </c>
      <c r="D97" t="s">
        <v>70</v>
      </c>
      <c r="E97" t="s">
        <v>70</v>
      </c>
      <c r="F97" t="s">
        <v>166</v>
      </c>
      <c r="G97" t="s">
        <v>166</v>
      </c>
      <c r="H97" t="s">
        <v>85</v>
      </c>
      <c r="I97" t="s">
        <v>170</v>
      </c>
      <c r="J97" t="s">
        <v>174</v>
      </c>
      <c r="K97" t="s">
        <v>89</v>
      </c>
      <c r="N97" t="s">
        <v>88</v>
      </c>
      <c r="O97" t="s">
        <v>89</v>
      </c>
      <c r="P97" t="s">
        <v>89</v>
      </c>
      <c r="Q97" t="s">
        <v>89</v>
      </c>
      <c r="R97" s="19" t="s">
        <v>88</v>
      </c>
      <c r="U97" s="17">
        <v>1</v>
      </c>
      <c r="AE97" s="19">
        <v>1</v>
      </c>
      <c r="AG97" s="16">
        <v>0</v>
      </c>
      <c r="AH97" t="s">
        <v>328</v>
      </c>
      <c r="AI97">
        <v>8</v>
      </c>
      <c r="AJ97" t="s">
        <v>201</v>
      </c>
      <c r="AK97" t="s">
        <v>345</v>
      </c>
      <c r="AL97" t="s">
        <v>357</v>
      </c>
      <c r="AM97" t="s">
        <v>19</v>
      </c>
      <c r="AN97" t="s">
        <v>50</v>
      </c>
    </row>
    <row r="98" spans="1:40">
      <c r="A98" t="s">
        <v>370</v>
      </c>
      <c r="B98" t="s">
        <v>50</v>
      </c>
      <c r="C98" t="s">
        <v>236</v>
      </c>
      <c r="D98" t="s">
        <v>62</v>
      </c>
      <c r="E98" t="s">
        <v>62</v>
      </c>
      <c r="F98" t="s">
        <v>166</v>
      </c>
      <c r="G98" t="s">
        <v>166</v>
      </c>
      <c r="H98" t="s">
        <v>85</v>
      </c>
      <c r="I98" t="s">
        <v>169</v>
      </c>
      <c r="J98" t="s">
        <v>173</v>
      </c>
      <c r="K98" t="s">
        <v>89</v>
      </c>
      <c r="N98" t="s">
        <v>88</v>
      </c>
      <c r="O98" t="s">
        <v>89</v>
      </c>
      <c r="P98" t="s">
        <v>89</v>
      </c>
      <c r="Q98" t="s">
        <v>89</v>
      </c>
      <c r="R98" s="19" t="s">
        <v>88</v>
      </c>
      <c r="AB98" s="19">
        <v>1</v>
      </c>
      <c r="AG98" s="16">
        <v>0</v>
      </c>
      <c r="AH98" t="s">
        <v>328</v>
      </c>
      <c r="AI98">
        <v>8</v>
      </c>
      <c r="AJ98" t="s">
        <v>201</v>
      </c>
      <c r="AK98" t="s">
        <v>345</v>
      </c>
      <c r="AL98" t="s">
        <v>357</v>
      </c>
      <c r="AM98" t="s">
        <v>19</v>
      </c>
      <c r="AN98" t="s">
        <v>50</v>
      </c>
    </row>
    <row r="99" spans="1:40">
      <c r="A99" t="s">
        <v>370</v>
      </c>
      <c r="B99" t="s">
        <v>50</v>
      </c>
      <c r="C99" t="s">
        <v>236</v>
      </c>
      <c r="D99" t="s">
        <v>59</v>
      </c>
      <c r="E99" t="s">
        <v>59</v>
      </c>
      <c r="F99" t="s">
        <v>166</v>
      </c>
      <c r="G99" t="s">
        <v>166</v>
      </c>
      <c r="H99" t="s">
        <v>85</v>
      </c>
      <c r="I99" t="s">
        <v>167</v>
      </c>
      <c r="J99" t="s">
        <v>171</v>
      </c>
      <c r="K99" t="s">
        <v>89</v>
      </c>
      <c r="N99" t="s">
        <v>88</v>
      </c>
      <c r="O99" t="s">
        <v>89</v>
      </c>
      <c r="P99" t="s">
        <v>89</v>
      </c>
      <c r="Q99" t="s">
        <v>89</v>
      </c>
      <c r="R99" s="19" t="s">
        <v>88</v>
      </c>
      <c r="S99" s="17">
        <v>2</v>
      </c>
      <c r="U99" s="17">
        <v>8</v>
      </c>
      <c r="V99" s="17">
        <v>1</v>
      </c>
      <c r="AD99" s="19">
        <v>1</v>
      </c>
      <c r="AE99" s="19">
        <v>2</v>
      </c>
      <c r="AG99" s="16">
        <v>0.25</v>
      </c>
      <c r="AH99" t="s">
        <v>328</v>
      </c>
      <c r="AI99">
        <v>8</v>
      </c>
      <c r="AJ99" t="s">
        <v>201</v>
      </c>
      <c r="AK99" t="s">
        <v>345</v>
      </c>
      <c r="AL99" t="s">
        <v>357</v>
      </c>
      <c r="AM99" t="s">
        <v>19</v>
      </c>
      <c r="AN99" t="s">
        <v>50</v>
      </c>
    </row>
    <row r="100" spans="1:40">
      <c r="A100" t="s">
        <v>370</v>
      </c>
      <c r="B100" t="s">
        <v>50</v>
      </c>
      <c r="C100" t="s">
        <v>236</v>
      </c>
      <c r="D100" t="s">
        <v>109</v>
      </c>
      <c r="E100" t="s">
        <v>109</v>
      </c>
      <c r="F100" t="s">
        <v>180</v>
      </c>
      <c r="G100" t="s">
        <v>180</v>
      </c>
      <c r="H100" t="s">
        <v>85</v>
      </c>
      <c r="I100" t="s">
        <v>181</v>
      </c>
      <c r="J100" t="s">
        <v>180</v>
      </c>
      <c r="K100" t="s">
        <v>89</v>
      </c>
      <c r="N100" t="s">
        <v>88</v>
      </c>
      <c r="O100" t="s">
        <v>89</v>
      </c>
      <c r="P100" t="s">
        <v>88</v>
      </c>
      <c r="Q100" t="s">
        <v>89</v>
      </c>
      <c r="R100" s="19" t="s">
        <v>88</v>
      </c>
      <c r="AF100" s="16">
        <v>0</v>
      </c>
      <c r="AH100" t="s">
        <v>328</v>
      </c>
      <c r="AI100">
        <v>8</v>
      </c>
      <c r="AJ100" t="s">
        <v>201</v>
      </c>
      <c r="AK100" t="s">
        <v>345</v>
      </c>
      <c r="AL100" t="s">
        <v>357</v>
      </c>
      <c r="AM100" t="s">
        <v>19</v>
      </c>
      <c r="AN100" t="s">
        <v>50</v>
      </c>
    </row>
    <row r="101" spans="1:40">
      <c r="A101" t="s">
        <v>370</v>
      </c>
      <c r="B101" t="s">
        <v>50</v>
      </c>
      <c r="C101" t="s">
        <v>236</v>
      </c>
      <c r="D101" t="s">
        <v>111</v>
      </c>
      <c r="E101" t="s">
        <v>111</v>
      </c>
      <c r="F101" t="s">
        <v>180</v>
      </c>
      <c r="G101" t="s">
        <v>180</v>
      </c>
      <c r="H101" t="s">
        <v>86</v>
      </c>
      <c r="I101" t="s">
        <v>181</v>
      </c>
      <c r="J101" t="s">
        <v>180</v>
      </c>
      <c r="K101" t="s">
        <v>89</v>
      </c>
      <c r="N101" t="s">
        <v>88</v>
      </c>
      <c r="O101" t="s">
        <v>89</v>
      </c>
      <c r="P101" t="s">
        <v>89</v>
      </c>
      <c r="Q101" t="s">
        <v>88</v>
      </c>
      <c r="R101" s="19" t="s">
        <v>88</v>
      </c>
      <c r="Y101" s="17">
        <v>10</v>
      </c>
      <c r="AC101" s="19">
        <v>9</v>
      </c>
      <c r="AF101" s="16">
        <v>0.526316</v>
      </c>
      <c r="AH101" t="s">
        <v>328</v>
      </c>
      <c r="AI101">
        <v>8</v>
      </c>
      <c r="AJ101" t="s">
        <v>201</v>
      </c>
      <c r="AK101" t="s">
        <v>345</v>
      </c>
      <c r="AL101" t="s">
        <v>357</v>
      </c>
      <c r="AM101" t="s">
        <v>19</v>
      </c>
      <c r="AN101" t="s">
        <v>50</v>
      </c>
    </row>
    <row r="102" spans="1:40">
      <c r="A102" t="s">
        <v>371</v>
      </c>
      <c r="B102" t="s">
        <v>48</v>
      </c>
      <c r="C102" t="s">
        <v>236</v>
      </c>
      <c r="D102" t="s">
        <v>63</v>
      </c>
      <c r="E102" t="s">
        <v>63</v>
      </c>
      <c r="F102" t="s">
        <v>166</v>
      </c>
      <c r="G102" t="s">
        <v>166</v>
      </c>
      <c r="H102" t="s">
        <v>85</v>
      </c>
      <c r="I102" t="s">
        <v>167</v>
      </c>
      <c r="J102" t="s">
        <v>171</v>
      </c>
      <c r="K102" t="s">
        <v>88</v>
      </c>
      <c r="L102" t="s">
        <v>175</v>
      </c>
      <c r="M102" t="s">
        <v>179</v>
      </c>
      <c r="N102" t="s">
        <v>88</v>
      </c>
      <c r="O102" t="s">
        <v>89</v>
      </c>
      <c r="P102" t="s">
        <v>89</v>
      </c>
      <c r="Q102" t="s">
        <v>89</v>
      </c>
      <c r="R102" s="19" t="s">
        <v>88</v>
      </c>
      <c r="T102" s="17">
        <v>2</v>
      </c>
      <c r="U102" s="17">
        <v>4</v>
      </c>
      <c r="W102" s="17">
        <v>1</v>
      </c>
      <c r="X102" s="17">
        <v>1</v>
      </c>
      <c r="Z102" s="19">
        <v>1</v>
      </c>
      <c r="AE102" s="19">
        <v>2</v>
      </c>
      <c r="AG102" s="16">
        <v>0</v>
      </c>
      <c r="AH102" t="s">
        <v>329</v>
      </c>
      <c r="AI102">
        <v>9</v>
      </c>
      <c r="AJ102" t="s">
        <v>202</v>
      </c>
      <c r="AK102" t="s">
        <v>346</v>
      </c>
      <c r="AL102" t="s">
        <v>358</v>
      </c>
      <c r="AM102" t="s">
        <v>18</v>
      </c>
      <c r="AN102" t="s">
        <v>48</v>
      </c>
    </row>
    <row r="103" spans="1:40">
      <c r="A103" t="s">
        <v>371</v>
      </c>
      <c r="B103" t="s">
        <v>48</v>
      </c>
      <c r="C103" t="s">
        <v>236</v>
      </c>
      <c r="D103" t="s">
        <v>69</v>
      </c>
      <c r="E103" t="s">
        <v>69</v>
      </c>
      <c r="F103" t="s">
        <v>166</v>
      </c>
      <c r="G103" t="s">
        <v>166</v>
      </c>
      <c r="H103" t="s">
        <v>85</v>
      </c>
      <c r="I103" t="s">
        <v>168</v>
      </c>
      <c r="J103" t="s">
        <v>172</v>
      </c>
      <c r="K103" t="s">
        <v>89</v>
      </c>
      <c r="N103" t="s">
        <v>88</v>
      </c>
      <c r="O103" t="s">
        <v>89</v>
      </c>
      <c r="P103" t="s">
        <v>89</v>
      </c>
      <c r="Q103" t="s">
        <v>89</v>
      </c>
      <c r="R103" s="19" t="s">
        <v>88</v>
      </c>
      <c r="U103" s="17">
        <v>2</v>
      </c>
      <c r="Z103" s="19">
        <v>1</v>
      </c>
      <c r="AG103" s="16">
        <v>0</v>
      </c>
      <c r="AH103" t="s">
        <v>329</v>
      </c>
      <c r="AI103">
        <v>9</v>
      </c>
      <c r="AJ103" t="s">
        <v>202</v>
      </c>
      <c r="AK103" t="s">
        <v>346</v>
      </c>
      <c r="AL103" t="s">
        <v>358</v>
      </c>
      <c r="AM103" t="s">
        <v>18</v>
      </c>
      <c r="AN103" t="s">
        <v>48</v>
      </c>
    </row>
    <row r="104" spans="1:40">
      <c r="A104" t="s">
        <v>371</v>
      </c>
      <c r="B104" t="s">
        <v>48</v>
      </c>
      <c r="C104" t="s">
        <v>236</v>
      </c>
      <c r="D104" t="s">
        <v>60</v>
      </c>
      <c r="E104" t="s">
        <v>60</v>
      </c>
      <c r="F104" t="s">
        <v>166</v>
      </c>
      <c r="G104" t="s">
        <v>166</v>
      </c>
      <c r="H104" t="s">
        <v>85</v>
      </c>
      <c r="I104" t="s">
        <v>167</v>
      </c>
      <c r="J104" t="s">
        <v>171</v>
      </c>
      <c r="K104" t="s">
        <v>88</v>
      </c>
      <c r="L104" t="s">
        <v>176</v>
      </c>
      <c r="M104" t="s">
        <v>138</v>
      </c>
      <c r="N104" t="s">
        <v>88</v>
      </c>
      <c r="O104" t="s">
        <v>89</v>
      </c>
      <c r="P104" t="s">
        <v>89</v>
      </c>
      <c r="Q104" t="s">
        <v>89</v>
      </c>
      <c r="R104" s="19" t="s">
        <v>88</v>
      </c>
      <c r="S104" s="17">
        <v>1</v>
      </c>
      <c r="T104" s="17">
        <v>2</v>
      </c>
      <c r="U104" s="17">
        <v>1</v>
      </c>
      <c r="V104" s="17">
        <v>1</v>
      </c>
      <c r="Z104" s="19">
        <v>1</v>
      </c>
      <c r="AB104" s="19">
        <v>2</v>
      </c>
      <c r="AE104" s="19">
        <v>2</v>
      </c>
      <c r="AG104" s="16">
        <v>1</v>
      </c>
      <c r="AH104" t="s">
        <v>329</v>
      </c>
      <c r="AI104">
        <v>9</v>
      </c>
      <c r="AJ104" t="s">
        <v>202</v>
      </c>
      <c r="AK104" t="s">
        <v>346</v>
      </c>
      <c r="AL104" t="s">
        <v>358</v>
      </c>
      <c r="AM104" t="s">
        <v>18</v>
      </c>
      <c r="AN104" t="s">
        <v>48</v>
      </c>
    </row>
    <row r="105" spans="1:40">
      <c r="A105" t="s">
        <v>371</v>
      </c>
      <c r="B105" t="s">
        <v>48</v>
      </c>
      <c r="C105" t="s">
        <v>236</v>
      </c>
      <c r="D105" t="s">
        <v>61</v>
      </c>
      <c r="E105" t="s">
        <v>61</v>
      </c>
      <c r="F105" t="s">
        <v>166</v>
      </c>
      <c r="G105" t="s">
        <v>166</v>
      </c>
      <c r="H105" t="s">
        <v>85</v>
      </c>
      <c r="I105" t="s">
        <v>169</v>
      </c>
      <c r="J105" t="s">
        <v>173</v>
      </c>
      <c r="K105" t="s">
        <v>88</v>
      </c>
      <c r="L105" t="s">
        <v>177</v>
      </c>
      <c r="M105" t="s">
        <v>138</v>
      </c>
      <c r="N105" t="s">
        <v>88</v>
      </c>
      <c r="O105" t="s">
        <v>89</v>
      </c>
      <c r="P105" t="s">
        <v>89</v>
      </c>
      <c r="Q105" t="s">
        <v>89</v>
      </c>
      <c r="R105" s="19" t="s">
        <v>88</v>
      </c>
      <c r="S105" s="17">
        <v>2</v>
      </c>
      <c r="U105" s="17">
        <v>4</v>
      </c>
      <c r="W105" s="17">
        <v>4</v>
      </c>
      <c r="Z105" s="19">
        <v>2</v>
      </c>
      <c r="AE105" s="19">
        <v>1</v>
      </c>
      <c r="AG105" s="16">
        <v>0.5</v>
      </c>
      <c r="AH105" t="s">
        <v>329</v>
      </c>
      <c r="AI105">
        <v>9</v>
      </c>
      <c r="AJ105" t="s">
        <v>202</v>
      </c>
      <c r="AK105" t="s">
        <v>346</v>
      </c>
      <c r="AL105" t="s">
        <v>358</v>
      </c>
      <c r="AM105" t="s">
        <v>18</v>
      </c>
      <c r="AN105" t="s">
        <v>48</v>
      </c>
    </row>
    <row r="106" spans="1:40">
      <c r="A106" t="s">
        <v>371</v>
      </c>
      <c r="B106" t="s">
        <v>48</v>
      </c>
      <c r="C106" t="s">
        <v>236</v>
      </c>
      <c r="D106" t="s">
        <v>68</v>
      </c>
      <c r="E106" t="s">
        <v>68</v>
      </c>
      <c r="F106" t="s">
        <v>166</v>
      </c>
      <c r="G106" t="s">
        <v>166</v>
      </c>
      <c r="H106" t="s">
        <v>85</v>
      </c>
      <c r="I106" t="s">
        <v>170</v>
      </c>
      <c r="J106" t="s">
        <v>174</v>
      </c>
      <c r="K106" t="s">
        <v>89</v>
      </c>
      <c r="N106" t="s">
        <v>88</v>
      </c>
      <c r="O106" t="s">
        <v>89</v>
      </c>
      <c r="P106" t="s">
        <v>89</v>
      </c>
      <c r="Q106" t="s">
        <v>89</v>
      </c>
      <c r="R106" s="19" t="s">
        <v>88</v>
      </c>
      <c r="U106" s="17">
        <v>1</v>
      </c>
      <c r="AA106" s="19">
        <v>1</v>
      </c>
      <c r="AB106" s="19">
        <v>1</v>
      </c>
      <c r="AE106" s="19">
        <v>1</v>
      </c>
      <c r="AG106" s="16">
        <v>0</v>
      </c>
      <c r="AH106" t="s">
        <v>329</v>
      </c>
      <c r="AI106">
        <v>9</v>
      </c>
      <c r="AJ106" t="s">
        <v>202</v>
      </c>
      <c r="AK106" t="s">
        <v>346</v>
      </c>
      <c r="AL106" t="s">
        <v>358</v>
      </c>
      <c r="AM106" t="s">
        <v>18</v>
      </c>
      <c r="AN106" t="s">
        <v>48</v>
      </c>
    </row>
    <row r="107" spans="1:40">
      <c r="A107" t="s">
        <v>371</v>
      </c>
      <c r="B107" t="s">
        <v>48</v>
      </c>
      <c r="C107" t="s">
        <v>236</v>
      </c>
      <c r="D107" t="s">
        <v>65</v>
      </c>
      <c r="E107" t="s">
        <v>65</v>
      </c>
      <c r="F107" t="s">
        <v>166</v>
      </c>
      <c r="G107" t="s">
        <v>166</v>
      </c>
      <c r="H107" t="s">
        <v>86</v>
      </c>
      <c r="I107" t="s">
        <v>170</v>
      </c>
      <c r="J107" t="s">
        <v>174</v>
      </c>
      <c r="K107" t="s">
        <v>89</v>
      </c>
      <c r="N107" t="s">
        <v>88</v>
      </c>
      <c r="O107" t="s">
        <v>89</v>
      </c>
      <c r="P107" t="s">
        <v>89</v>
      </c>
      <c r="Q107" t="s">
        <v>89</v>
      </c>
      <c r="R107" s="19" t="s">
        <v>88</v>
      </c>
      <c r="S107" s="17">
        <v>1</v>
      </c>
      <c r="U107" s="17">
        <v>2</v>
      </c>
      <c r="V107" s="17">
        <v>1</v>
      </c>
      <c r="AB107" s="19">
        <v>1</v>
      </c>
      <c r="AG107" s="16">
        <v>0.5</v>
      </c>
      <c r="AH107" t="s">
        <v>329</v>
      </c>
      <c r="AI107">
        <v>9</v>
      </c>
      <c r="AJ107" t="s">
        <v>202</v>
      </c>
      <c r="AK107" t="s">
        <v>346</v>
      </c>
      <c r="AL107" t="s">
        <v>358</v>
      </c>
      <c r="AM107" t="s">
        <v>18</v>
      </c>
      <c r="AN107" t="s">
        <v>48</v>
      </c>
    </row>
    <row r="108" spans="1:40">
      <c r="A108" t="s">
        <v>371</v>
      </c>
      <c r="B108" t="s">
        <v>48</v>
      </c>
      <c r="C108" t="s">
        <v>236</v>
      </c>
      <c r="D108" t="s">
        <v>64</v>
      </c>
      <c r="E108" t="s">
        <v>64</v>
      </c>
      <c r="F108" t="s">
        <v>166</v>
      </c>
      <c r="G108" t="s">
        <v>166</v>
      </c>
      <c r="H108" t="s">
        <v>85</v>
      </c>
      <c r="I108" t="s">
        <v>168</v>
      </c>
      <c r="J108" t="s">
        <v>172</v>
      </c>
      <c r="K108" t="s">
        <v>88</v>
      </c>
      <c r="L108" t="s">
        <v>178</v>
      </c>
      <c r="M108" t="s">
        <v>138</v>
      </c>
      <c r="N108" t="s">
        <v>88</v>
      </c>
      <c r="O108" t="s">
        <v>89</v>
      </c>
      <c r="P108" t="s">
        <v>89</v>
      </c>
      <c r="Q108" t="s">
        <v>89</v>
      </c>
      <c r="R108" s="19" t="s">
        <v>88</v>
      </c>
      <c r="S108" s="17">
        <v>2</v>
      </c>
      <c r="U108" s="17">
        <v>6</v>
      </c>
      <c r="V108" s="17">
        <v>1</v>
      </c>
      <c r="W108" s="17">
        <v>1</v>
      </c>
      <c r="AB108" s="19">
        <v>2</v>
      </c>
      <c r="AE108" s="19">
        <v>1</v>
      </c>
      <c r="AG108" s="16">
        <v>0.333333</v>
      </c>
      <c r="AH108" t="s">
        <v>329</v>
      </c>
      <c r="AI108">
        <v>9</v>
      </c>
      <c r="AJ108" t="s">
        <v>202</v>
      </c>
      <c r="AK108" t="s">
        <v>346</v>
      </c>
      <c r="AL108" t="s">
        <v>358</v>
      </c>
      <c r="AM108" t="s">
        <v>18</v>
      </c>
      <c r="AN108" t="s">
        <v>48</v>
      </c>
    </row>
    <row r="109" spans="1:40">
      <c r="A109" t="s">
        <v>371</v>
      </c>
      <c r="B109" t="s">
        <v>48</v>
      </c>
      <c r="C109" t="s">
        <v>236</v>
      </c>
      <c r="D109" t="s">
        <v>71</v>
      </c>
      <c r="E109" t="s">
        <v>71</v>
      </c>
      <c r="F109" t="s">
        <v>166</v>
      </c>
      <c r="G109" t="s">
        <v>166</v>
      </c>
      <c r="H109" t="s">
        <v>85</v>
      </c>
      <c r="I109" t="s">
        <v>170</v>
      </c>
      <c r="J109" t="s">
        <v>174</v>
      </c>
      <c r="K109" t="s">
        <v>89</v>
      </c>
      <c r="N109" t="s">
        <v>88</v>
      </c>
      <c r="O109" t="s">
        <v>89</v>
      </c>
      <c r="P109" t="s">
        <v>89</v>
      </c>
      <c r="Q109" t="s">
        <v>89</v>
      </c>
      <c r="R109" s="19" t="s">
        <v>88</v>
      </c>
      <c r="V109" s="17">
        <v>1</v>
      </c>
      <c r="Z109" s="19">
        <v>1</v>
      </c>
      <c r="AG109" s="16">
        <v>0</v>
      </c>
      <c r="AH109" t="s">
        <v>329</v>
      </c>
      <c r="AI109">
        <v>9</v>
      </c>
      <c r="AJ109" t="s">
        <v>202</v>
      </c>
      <c r="AK109" t="s">
        <v>346</v>
      </c>
      <c r="AL109" t="s">
        <v>358</v>
      </c>
      <c r="AM109" t="s">
        <v>18</v>
      </c>
      <c r="AN109" t="s">
        <v>48</v>
      </c>
    </row>
    <row r="110" spans="1:40">
      <c r="A110" t="s">
        <v>371</v>
      </c>
      <c r="B110" t="s">
        <v>48</v>
      </c>
      <c r="C110" t="s">
        <v>236</v>
      </c>
      <c r="D110" t="s">
        <v>66</v>
      </c>
      <c r="E110" t="s">
        <v>66</v>
      </c>
      <c r="F110" t="s">
        <v>166</v>
      </c>
      <c r="G110" t="s">
        <v>166</v>
      </c>
      <c r="H110" t="s">
        <v>85</v>
      </c>
      <c r="I110" t="s">
        <v>167</v>
      </c>
      <c r="J110" t="s">
        <v>171</v>
      </c>
      <c r="K110" t="s">
        <v>89</v>
      </c>
      <c r="N110" t="s">
        <v>88</v>
      </c>
      <c r="O110" t="s">
        <v>89</v>
      </c>
      <c r="P110" t="s">
        <v>89</v>
      </c>
      <c r="Q110" t="s">
        <v>89</v>
      </c>
      <c r="R110" s="19" t="s">
        <v>88</v>
      </c>
      <c r="S110" s="17">
        <v>1</v>
      </c>
      <c r="T110" s="17">
        <v>1</v>
      </c>
      <c r="U110" s="17">
        <v>3</v>
      </c>
      <c r="V110" s="17">
        <v>1</v>
      </c>
      <c r="Z110" s="19">
        <v>2</v>
      </c>
      <c r="AE110" s="19">
        <v>2</v>
      </c>
      <c r="AG110" s="16">
        <v>0.333333</v>
      </c>
      <c r="AH110" t="s">
        <v>329</v>
      </c>
      <c r="AI110">
        <v>9</v>
      </c>
      <c r="AJ110" t="s">
        <v>202</v>
      </c>
      <c r="AK110" t="s">
        <v>346</v>
      </c>
      <c r="AL110" t="s">
        <v>358</v>
      </c>
      <c r="AM110" t="s">
        <v>18</v>
      </c>
      <c r="AN110" t="s">
        <v>48</v>
      </c>
    </row>
    <row r="111" spans="1:40">
      <c r="A111" t="s">
        <v>371</v>
      </c>
      <c r="B111" t="s">
        <v>48</v>
      </c>
      <c r="C111" t="s">
        <v>236</v>
      </c>
      <c r="D111" t="s">
        <v>70</v>
      </c>
      <c r="E111" t="s">
        <v>70</v>
      </c>
      <c r="F111" t="s">
        <v>166</v>
      </c>
      <c r="G111" t="s">
        <v>166</v>
      </c>
      <c r="H111" t="s">
        <v>85</v>
      </c>
      <c r="I111" t="s">
        <v>170</v>
      </c>
      <c r="J111" t="s">
        <v>174</v>
      </c>
      <c r="K111" t="s">
        <v>89</v>
      </c>
      <c r="N111" t="s">
        <v>88</v>
      </c>
      <c r="O111" t="s">
        <v>89</v>
      </c>
      <c r="P111" t="s">
        <v>88</v>
      </c>
      <c r="Q111" t="s">
        <v>89</v>
      </c>
      <c r="R111" s="19" t="s">
        <v>88</v>
      </c>
      <c r="AG111" s="16">
        <v>0</v>
      </c>
      <c r="AH111" t="s">
        <v>329</v>
      </c>
      <c r="AI111">
        <v>9</v>
      </c>
      <c r="AJ111" t="s">
        <v>202</v>
      </c>
      <c r="AK111" t="s">
        <v>346</v>
      </c>
      <c r="AL111" t="s">
        <v>358</v>
      </c>
      <c r="AM111" t="s">
        <v>18</v>
      </c>
      <c r="AN111" t="s">
        <v>48</v>
      </c>
    </row>
    <row r="112" spans="1:40">
      <c r="A112" t="s">
        <v>371</v>
      </c>
      <c r="B112" t="s">
        <v>48</v>
      </c>
      <c r="C112" t="s">
        <v>236</v>
      </c>
      <c r="D112" t="s">
        <v>62</v>
      </c>
      <c r="E112" t="s">
        <v>62</v>
      </c>
      <c r="F112" t="s">
        <v>166</v>
      </c>
      <c r="G112" t="s">
        <v>166</v>
      </c>
      <c r="H112" t="s">
        <v>85</v>
      </c>
      <c r="I112" t="s">
        <v>169</v>
      </c>
      <c r="J112" t="s">
        <v>173</v>
      </c>
      <c r="K112" t="s">
        <v>89</v>
      </c>
      <c r="N112" t="s">
        <v>88</v>
      </c>
      <c r="O112" t="s">
        <v>89</v>
      </c>
      <c r="P112" t="s">
        <v>89</v>
      </c>
      <c r="Q112" t="s">
        <v>89</v>
      </c>
      <c r="R112" s="19" t="s">
        <v>88</v>
      </c>
      <c r="T112" s="17">
        <v>1</v>
      </c>
      <c r="W112" s="17">
        <v>2</v>
      </c>
      <c r="AE112" s="19">
        <v>1</v>
      </c>
      <c r="AG112" s="16">
        <v>0</v>
      </c>
      <c r="AH112" t="s">
        <v>329</v>
      </c>
      <c r="AI112">
        <v>9</v>
      </c>
      <c r="AJ112" t="s">
        <v>202</v>
      </c>
      <c r="AK112" t="s">
        <v>346</v>
      </c>
      <c r="AL112" t="s">
        <v>358</v>
      </c>
      <c r="AM112" t="s">
        <v>18</v>
      </c>
      <c r="AN112" t="s">
        <v>48</v>
      </c>
    </row>
    <row r="113" spans="1:40">
      <c r="A113" t="s">
        <v>371</v>
      </c>
      <c r="B113" t="s">
        <v>48</v>
      </c>
      <c r="C113" t="s">
        <v>236</v>
      </c>
      <c r="D113" t="s">
        <v>59</v>
      </c>
      <c r="E113" t="s">
        <v>59</v>
      </c>
      <c r="F113" t="s">
        <v>166</v>
      </c>
      <c r="G113" t="s">
        <v>166</v>
      </c>
      <c r="H113" t="s">
        <v>85</v>
      </c>
      <c r="I113" t="s">
        <v>167</v>
      </c>
      <c r="J113" t="s">
        <v>171</v>
      </c>
      <c r="K113" t="s">
        <v>89</v>
      </c>
      <c r="N113" t="s">
        <v>88</v>
      </c>
      <c r="O113" t="s">
        <v>89</v>
      </c>
      <c r="P113" t="s">
        <v>89</v>
      </c>
      <c r="Q113" t="s">
        <v>89</v>
      </c>
      <c r="R113" s="19" t="s">
        <v>88</v>
      </c>
      <c r="S113" s="17">
        <v>1</v>
      </c>
      <c r="U113" s="17">
        <v>8</v>
      </c>
      <c r="V113" s="17">
        <v>1</v>
      </c>
      <c r="AE113" s="19">
        <v>1</v>
      </c>
      <c r="AG113" s="16">
        <v>0.125</v>
      </c>
      <c r="AH113" t="s">
        <v>329</v>
      </c>
      <c r="AI113">
        <v>9</v>
      </c>
      <c r="AJ113" t="s">
        <v>202</v>
      </c>
      <c r="AK113" t="s">
        <v>346</v>
      </c>
      <c r="AL113" t="s">
        <v>358</v>
      </c>
      <c r="AM113" t="s">
        <v>18</v>
      </c>
      <c r="AN113" t="s">
        <v>48</v>
      </c>
    </row>
    <row r="114" spans="1:40">
      <c r="A114" t="s">
        <v>371</v>
      </c>
      <c r="B114" t="s">
        <v>48</v>
      </c>
      <c r="C114" t="s">
        <v>236</v>
      </c>
      <c r="D114" t="s">
        <v>110</v>
      </c>
      <c r="E114" t="s">
        <v>110</v>
      </c>
      <c r="F114" t="s">
        <v>180</v>
      </c>
      <c r="G114" t="s">
        <v>180</v>
      </c>
      <c r="H114" t="s">
        <v>85</v>
      </c>
      <c r="I114" t="s">
        <v>181</v>
      </c>
      <c r="J114" t="s">
        <v>180</v>
      </c>
      <c r="K114" t="s">
        <v>89</v>
      </c>
      <c r="N114" t="s">
        <v>88</v>
      </c>
      <c r="O114" t="s">
        <v>89</v>
      </c>
      <c r="P114" t="s">
        <v>89</v>
      </c>
      <c r="Q114" t="s">
        <v>88</v>
      </c>
      <c r="R114" s="19" t="s">
        <v>88</v>
      </c>
      <c r="Y114" s="17">
        <v>0</v>
      </c>
      <c r="AC114" s="19">
        <v>3</v>
      </c>
      <c r="AE114" s="19">
        <v>1</v>
      </c>
      <c r="AF114" s="16">
        <v>0</v>
      </c>
      <c r="AH114" t="s">
        <v>329</v>
      </c>
      <c r="AI114">
        <v>9</v>
      </c>
      <c r="AJ114" t="s">
        <v>202</v>
      </c>
      <c r="AK114" t="s">
        <v>346</v>
      </c>
      <c r="AL114" t="s">
        <v>358</v>
      </c>
      <c r="AM114" t="s">
        <v>18</v>
      </c>
      <c r="AN114" t="s">
        <v>48</v>
      </c>
    </row>
    <row r="115" spans="1:40">
      <c r="A115" t="s">
        <v>371</v>
      </c>
      <c r="B115" t="s">
        <v>48</v>
      </c>
      <c r="C115" t="s">
        <v>236</v>
      </c>
      <c r="D115" t="s">
        <v>111</v>
      </c>
      <c r="E115" t="s">
        <v>111</v>
      </c>
      <c r="F115" t="s">
        <v>180</v>
      </c>
      <c r="G115" t="s">
        <v>180</v>
      </c>
      <c r="H115" t="s">
        <v>86</v>
      </c>
      <c r="I115" t="s">
        <v>181</v>
      </c>
      <c r="J115" t="s">
        <v>180</v>
      </c>
      <c r="K115" t="s">
        <v>89</v>
      </c>
      <c r="N115" t="s">
        <v>88</v>
      </c>
      <c r="O115" t="s">
        <v>89</v>
      </c>
      <c r="P115" t="s">
        <v>89</v>
      </c>
      <c r="Q115" t="s">
        <v>88</v>
      </c>
      <c r="R115" s="19" t="s">
        <v>88</v>
      </c>
      <c r="Y115" s="17">
        <v>8</v>
      </c>
      <c r="AC115" s="19">
        <v>7</v>
      </c>
      <c r="AE115" s="19">
        <v>1</v>
      </c>
      <c r="AF115" s="16">
        <v>0.5333329999999999</v>
      </c>
      <c r="AH115" t="s">
        <v>329</v>
      </c>
      <c r="AI115">
        <v>9</v>
      </c>
      <c r="AJ115" t="s">
        <v>202</v>
      </c>
      <c r="AK115" t="s">
        <v>346</v>
      </c>
      <c r="AL115" t="s">
        <v>358</v>
      </c>
      <c r="AM115" t="s">
        <v>18</v>
      </c>
      <c r="AN115" t="s">
        <v>48</v>
      </c>
    </row>
    <row r="116" spans="1:40">
      <c r="A116" t="s">
        <v>372</v>
      </c>
      <c r="B116" t="s">
        <v>30</v>
      </c>
      <c r="C116" t="s">
        <v>363</v>
      </c>
      <c r="D116" t="s">
        <v>63</v>
      </c>
      <c r="E116" t="s">
        <v>63</v>
      </c>
      <c r="F116" t="s">
        <v>166</v>
      </c>
      <c r="G116" t="s">
        <v>166</v>
      </c>
      <c r="H116" t="s">
        <v>85</v>
      </c>
      <c r="I116" t="s">
        <v>167</v>
      </c>
      <c r="J116" t="s">
        <v>171</v>
      </c>
      <c r="K116" t="s">
        <v>88</v>
      </c>
      <c r="L116" t="s">
        <v>175</v>
      </c>
      <c r="M116" t="s">
        <v>179</v>
      </c>
      <c r="N116" t="s">
        <v>88</v>
      </c>
      <c r="O116" t="s">
        <v>89</v>
      </c>
      <c r="P116" t="s">
        <v>89</v>
      </c>
      <c r="Q116" t="s">
        <v>89</v>
      </c>
      <c r="R116" s="19" t="s">
        <v>88</v>
      </c>
      <c r="S116" s="17">
        <v>3</v>
      </c>
      <c r="T116" s="17">
        <v>1</v>
      </c>
      <c r="U116" s="17">
        <v>3</v>
      </c>
      <c r="AB116" s="19">
        <v>1</v>
      </c>
      <c r="AD116" s="19">
        <v>1</v>
      </c>
      <c r="AE116" s="19">
        <v>1</v>
      </c>
      <c r="AG116" s="16">
        <v>1</v>
      </c>
      <c r="AH116" t="s">
        <v>330</v>
      </c>
      <c r="AI116">
        <v>10</v>
      </c>
      <c r="AJ116" t="s">
        <v>206</v>
      </c>
      <c r="AK116" t="s">
        <v>347</v>
      </c>
      <c r="AL116" t="s">
        <v>359</v>
      </c>
      <c r="AM116" t="s">
        <v>19</v>
      </c>
      <c r="AN116" t="s">
        <v>30</v>
      </c>
    </row>
    <row r="117" spans="1:40">
      <c r="A117" t="s">
        <v>372</v>
      </c>
      <c r="B117" t="s">
        <v>30</v>
      </c>
      <c r="C117" t="s">
        <v>363</v>
      </c>
      <c r="D117" t="s">
        <v>69</v>
      </c>
      <c r="E117" t="s">
        <v>69</v>
      </c>
      <c r="F117" t="s">
        <v>166</v>
      </c>
      <c r="G117" t="s">
        <v>166</v>
      </c>
      <c r="H117" t="s">
        <v>85</v>
      </c>
      <c r="I117" t="s">
        <v>168</v>
      </c>
      <c r="J117" t="s">
        <v>172</v>
      </c>
      <c r="K117" t="s">
        <v>89</v>
      </c>
      <c r="N117" t="s">
        <v>88</v>
      </c>
      <c r="O117" t="s">
        <v>89</v>
      </c>
      <c r="P117" t="s">
        <v>89</v>
      </c>
      <c r="Q117" t="s">
        <v>89</v>
      </c>
      <c r="R117" s="19" t="s">
        <v>88</v>
      </c>
      <c r="T117" s="17">
        <v>1</v>
      </c>
      <c r="U117" s="17">
        <v>1</v>
      </c>
      <c r="V117" s="17">
        <v>1</v>
      </c>
      <c r="Y117" s="17">
        <v>1</v>
      </c>
      <c r="Z117" s="19">
        <v>2</v>
      </c>
      <c r="AB117" s="19">
        <v>1</v>
      </c>
      <c r="AG117" s="16">
        <v>0</v>
      </c>
      <c r="AH117" t="s">
        <v>330</v>
      </c>
      <c r="AI117">
        <v>10</v>
      </c>
      <c r="AJ117" t="s">
        <v>206</v>
      </c>
      <c r="AK117" t="s">
        <v>347</v>
      </c>
      <c r="AL117" t="s">
        <v>359</v>
      </c>
      <c r="AM117" t="s">
        <v>19</v>
      </c>
      <c r="AN117" t="s">
        <v>30</v>
      </c>
    </row>
    <row r="118" spans="1:40">
      <c r="A118" t="s">
        <v>372</v>
      </c>
      <c r="B118" t="s">
        <v>30</v>
      </c>
      <c r="C118" t="s">
        <v>363</v>
      </c>
      <c r="D118" t="s">
        <v>60</v>
      </c>
      <c r="E118" t="s">
        <v>60</v>
      </c>
      <c r="F118" t="s">
        <v>166</v>
      </c>
      <c r="G118" t="s">
        <v>166</v>
      </c>
      <c r="H118" t="s">
        <v>85</v>
      </c>
      <c r="I118" t="s">
        <v>167</v>
      </c>
      <c r="J118" t="s">
        <v>171</v>
      </c>
      <c r="K118" t="s">
        <v>88</v>
      </c>
      <c r="L118" t="s">
        <v>176</v>
      </c>
      <c r="M118" t="s">
        <v>138</v>
      </c>
      <c r="N118" t="s">
        <v>88</v>
      </c>
      <c r="O118" t="s">
        <v>89</v>
      </c>
      <c r="P118" t="s">
        <v>89</v>
      </c>
      <c r="Q118" t="s">
        <v>89</v>
      </c>
      <c r="R118" s="19" t="s">
        <v>88</v>
      </c>
      <c r="S118" s="17">
        <v>1</v>
      </c>
      <c r="T118" s="17">
        <v>3</v>
      </c>
      <c r="U118" s="17">
        <v>3</v>
      </c>
      <c r="Y118" s="17">
        <v>1</v>
      </c>
      <c r="AG118" s="16">
        <v>0.333333</v>
      </c>
      <c r="AH118" t="s">
        <v>330</v>
      </c>
      <c r="AI118">
        <v>10</v>
      </c>
      <c r="AJ118" t="s">
        <v>206</v>
      </c>
      <c r="AK118" t="s">
        <v>347</v>
      </c>
      <c r="AL118" t="s">
        <v>359</v>
      </c>
      <c r="AM118" t="s">
        <v>19</v>
      </c>
      <c r="AN118" t="s">
        <v>30</v>
      </c>
    </row>
    <row r="119" spans="1:40">
      <c r="A119" t="s">
        <v>372</v>
      </c>
      <c r="B119" t="s">
        <v>30</v>
      </c>
      <c r="C119" t="s">
        <v>363</v>
      </c>
      <c r="D119" t="s">
        <v>61</v>
      </c>
      <c r="E119" t="s">
        <v>61</v>
      </c>
      <c r="F119" t="s">
        <v>166</v>
      </c>
      <c r="G119" t="s">
        <v>166</v>
      </c>
      <c r="H119" t="s">
        <v>85</v>
      </c>
      <c r="I119" t="s">
        <v>169</v>
      </c>
      <c r="J119" t="s">
        <v>173</v>
      </c>
      <c r="K119" t="s">
        <v>88</v>
      </c>
      <c r="L119" t="s">
        <v>177</v>
      </c>
      <c r="M119" t="s">
        <v>138</v>
      </c>
      <c r="N119" t="s">
        <v>88</v>
      </c>
      <c r="O119" t="s">
        <v>89</v>
      </c>
      <c r="P119" t="s">
        <v>89</v>
      </c>
      <c r="Q119" t="s">
        <v>89</v>
      </c>
      <c r="R119" s="19" t="s">
        <v>88</v>
      </c>
      <c r="S119" s="17">
        <v>3</v>
      </c>
      <c r="T119" s="17">
        <v>1</v>
      </c>
      <c r="U119" s="17">
        <v>5</v>
      </c>
      <c r="W119" s="17">
        <v>1</v>
      </c>
      <c r="Z119" s="19">
        <v>1</v>
      </c>
      <c r="AG119" s="16">
        <v>0.6</v>
      </c>
      <c r="AH119" t="s">
        <v>330</v>
      </c>
      <c r="AI119">
        <v>10</v>
      </c>
      <c r="AJ119" t="s">
        <v>206</v>
      </c>
      <c r="AK119" t="s">
        <v>347</v>
      </c>
      <c r="AL119" t="s">
        <v>359</v>
      </c>
      <c r="AM119" t="s">
        <v>19</v>
      </c>
      <c r="AN119" t="s">
        <v>30</v>
      </c>
    </row>
    <row r="120" spans="1:40">
      <c r="A120" t="s">
        <v>372</v>
      </c>
      <c r="B120" t="s">
        <v>30</v>
      </c>
      <c r="C120" t="s">
        <v>363</v>
      </c>
      <c r="D120" t="s">
        <v>68</v>
      </c>
      <c r="E120" t="s">
        <v>68</v>
      </c>
      <c r="F120" t="s">
        <v>166</v>
      </c>
      <c r="G120" t="s">
        <v>166</v>
      </c>
      <c r="H120" t="s">
        <v>85</v>
      </c>
      <c r="I120" t="s">
        <v>170</v>
      </c>
      <c r="J120" t="s">
        <v>174</v>
      </c>
      <c r="K120" t="s">
        <v>89</v>
      </c>
      <c r="N120" t="s">
        <v>88</v>
      </c>
      <c r="O120" t="s">
        <v>89</v>
      </c>
      <c r="P120" t="s">
        <v>89</v>
      </c>
      <c r="Q120" t="s">
        <v>89</v>
      </c>
      <c r="R120" s="19" t="s">
        <v>88</v>
      </c>
      <c r="T120" s="17">
        <v>2</v>
      </c>
      <c r="V120" s="17">
        <v>1</v>
      </c>
      <c r="Z120" s="19">
        <v>1</v>
      </c>
      <c r="AG120" s="16">
        <v>0</v>
      </c>
      <c r="AH120" t="s">
        <v>330</v>
      </c>
      <c r="AI120">
        <v>10</v>
      </c>
      <c r="AJ120" t="s">
        <v>206</v>
      </c>
      <c r="AK120" t="s">
        <v>347</v>
      </c>
      <c r="AL120" t="s">
        <v>359</v>
      </c>
      <c r="AM120" t="s">
        <v>19</v>
      </c>
      <c r="AN120" t="s">
        <v>30</v>
      </c>
    </row>
    <row r="121" spans="1:40">
      <c r="A121" t="s">
        <v>372</v>
      </c>
      <c r="B121" t="s">
        <v>30</v>
      </c>
      <c r="C121" t="s">
        <v>363</v>
      </c>
      <c r="D121" t="s">
        <v>65</v>
      </c>
      <c r="E121" t="s">
        <v>65</v>
      </c>
      <c r="F121" t="s">
        <v>166</v>
      </c>
      <c r="G121" t="s">
        <v>166</v>
      </c>
      <c r="H121" t="s">
        <v>86</v>
      </c>
      <c r="I121" t="s">
        <v>170</v>
      </c>
      <c r="J121" t="s">
        <v>174</v>
      </c>
      <c r="K121" t="s">
        <v>89</v>
      </c>
      <c r="N121" t="s">
        <v>88</v>
      </c>
      <c r="O121" t="s">
        <v>89</v>
      </c>
      <c r="P121" t="s">
        <v>89</v>
      </c>
      <c r="Q121" t="s">
        <v>89</v>
      </c>
      <c r="R121" s="19" t="s">
        <v>88</v>
      </c>
      <c r="S121" s="17">
        <v>2</v>
      </c>
      <c r="U121" s="17">
        <v>3</v>
      </c>
      <c r="W121" s="17">
        <v>1</v>
      </c>
      <c r="X121" s="17">
        <v>1</v>
      </c>
      <c r="Y121" s="17">
        <v>1</v>
      </c>
      <c r="Z121" s="19">
        <v>1</v>
      </c>
      <c r="AG121" s="16">
        <v>0.666667</v>
      </c>
      <c r="AH121" t="s">
        <v>330</v>
      </c>
      <c r="AI121">
        <v>10</v>
      </c>
      <c r="AJ121" t="s">
        <v>206</v>
      </c>
      <c r="AK121" t="s">
        <v>347</v>
      </c>
      <c r="AL121" t="s">
        <v>359</v>
      </c>
      <c r="AM121" t="s">
        <v>19</v>
      </c>
      <c r="AN121" t="s">
        <v>30</v>
      </c>
    </row>
    <row r="122" spans="1:40">
      <c r="A122" t="s">
        <v>372</v>
      </c>
      <c r="B122" t="s">
        <v>30</v>
      </c>
      <c r="C122" t="s">
        <v>363</v>
      </c>
      <c r="D122" t="s">
        <v>64</v>
      </c>
      <c r="E122" t="s">
        <v>64</v>
      </c>
      <c r="F122" t="s">
        <v>166</v>
      </c>
      <c r="G122" t="s">
        <v>166</v>
      </c>
      <c r="H122" t="s">
        <v>85</v>
      </c>
      <c r="I122" t="s">
        <v>168</v>
      </c>
      <c r="J122" t="s">
        <v>172</v>
      </c>
      <c r="K122" t="s">
        <v>88</v>
      </c>
      <c r="L122" t="s">
        <v>178</v>
      </c>
      <c r="M122" t="s">
        <v>138</v>
      </c>
      <c r="N122" t="s">
        <v>88</v>
      </c>
      <c r="O122" t="s">
        <v>89</v>
      </c>
      <c r="P122" t="s">
        <v>89</v>
      </c>
      <c r="Q122" t="s">
        <v>89</v>
      </c>
      <c r="R122" s="19" t="s">
        <v>88</v>
      </c>
      <c r="S122" s="17">
        <v>2</v>
      </c>
      <c r="T122" s="17">
        <v>1</v>
      </c>
      <c r="U122" s="17">
        <v>3</v>
      </c>
      <c r="V122" s="17">
        <v>1</v>
      </c>
      <c r="Y122" s="17">
        <v>2</v>
      </c>
      <c r="Z122" s="19">
        <v>3</v>
      </c>
      <c r="AD122" s="19">
        <v>3</v>
      </c>
      <c r="AG122" s="16">
        <v>0.666667</v>
      </c>
      <c r="AH122" t="s">
        <v>330</v>
      </c>
      <c r="AI122">
        <v>10</v>
      </c>
      <c r="AJ122" t="s">
        <v>206</v>
      </c>
      <c r="AK122" t="s">
        <v>347</v>
      </c>
      <c r="AL122" t="s">
        <v>359</v>
      </c>
      <c r="AM122" t="s">
        <v>19</v>
      </c>
      <c r="AN122" t="s">
        <v>30</v>
      </c>
    </row>
    <row r="123" spans="1:40">
      <c r="A123" t="s">
        <v>372</v>
      </c>
      <c r="B123" t="s">
        <v>30</v>
      </c>
      <c r="C123" t="s">
        <v>363</v>
      </c>
      <c r="D123" t="s">
        <v>71</v>
      </c>
      <c r="E123" t="s">
        <v>71</v>
      </c>
      <c r="F123" t="s">
        <v>166</v>
      </c>
      <c r="G123" t="s">
        <v>166</v>
      </c>
      <c r="H123" t="s">
        <v>85</v>
      </c>
      <c r="I123" t="s">
        <v>170</v>
      </c>
      <c r="J123" t="s">
        <v>174</v>
      </c>
      <c r="K123" t="s">
        <v>89</v>
      </c>
      <c r="N123" t="s">
        <v>88</v>
      </c>
      <c r="O123" t="s">
        <v>89</v>
      </c>
      <c r="P123" t="s">
        <v>89</v>
      </c>
      <c r="Q123" t="s">
        <v>89</v>
      </c>
      <c r="R123" s="19" t="s">
        <v>88</v>
      </c>
      <c r="S123" s="17">
        <v>2</v>
      </c>
      <c r="T123" s="17">
        <v>2</v>
      </c>
      <c r="U123" s="17">
        <v>3</v>
      </c>
      <c r="V123" s="17">
        <v>2</v>
      </c>
      <c r="AG123" s="16">
        <v>0.666667</v>
      </c>
      <c r="AH123" t="s">
        <v>330</v>
      </c>
      <c r="AI123">
        <v>10</v>
      </c>
      <c r="AJ123" t="s">
        <v>206</v>
      </c>
      <c r="AK123" t="s">
        <v>347</v>
      </c>
      <c r="AL123" t="s">
        <v>359</v>
      </c>
      <c r="AM123" t="s">
        <v>19</v>
      </c>
      <c r="AN123" t="s">
        <v>30</v>
      </c>
    </row>
    <row r="124" spans="1:40">
      <c r="A124" t="s">
        <v>372</v>
      </c>
      <c r="B124" t="s">
        <v>30</v>
      </c>
      <c r="C124" t="s">
        <v>363</v>
      </c>
      <c r="D124" t="s">
        <v>129</v>
      </c>
      <c r="E124" t="s">
        <v>129</v>
      </c>
      <c r="F124" t="s">
        <v>166</v>
      </c>
      <c r="G124" t="s">
        <v>166</v>
      </c>
      <c r="H124" t="s">
        <v>85</v>
      </c>
      <c r="I124" t="s">
        <v>170</v>
      </c>
      <c r="J124" t="s">
        <v>174</v>
      </c>
      <c r="K124" t="s">
        <v>89</v>
      </c>
      <c r="N124" t="s">
        <v>88</v>
      </c>
      <c r="O124" t="s">
        <v>89</v>
      </c>
      <c r="P124" t="s">
        <v>89</v>
      </c>
      <c r="Q124" t="s">
        <v>89</v>
      </c>
      <c r="R124" s="19" t="s">
        <v>88</v>
      </c>
      <c r="T124" s="17">
        <v>1</v>
      </c>
      <c r="Y124" s="17">
        <v>2</v>
      </c>
      <c r="Z124" s="19">
        <v>3</v>
      </c>
      <c r="AB124" s="19">
        <v>1</v>
      </c>
      <c r="AG124" s="16">
        <v>0</v>
      </c>
      <c r="AH124" t="s">
        <v>330</v>
      </c>
      <c r="AI124">
        <v>10</v>
      </c>
      <c r="AJ124" t="s">
        <v>206</v>
      </c>
      <c r="AK124" t="s">
        <v>347</v>
      </c>
      <c r="AL124" t="s">
        <v>359</v>
      </c>
      <c r="AM124" t="s">
        <v>19</v>
      </c>
      <c r="AN124" t="s">
        <v>30</v>
      </c>
    </row>
    <row r="125" spans="1:40">
      <c r="A125" t="s">
        <v>372</v>
      </c>
      <c r="B125" t="s">
        <v>30</v>
      </c>
      <c r="C125" t="s">
        <v>363</v>
      </c>
      <c r="D125" t="s">
        <v>70</v>
      </c>
      <c r="E125" t="s">
        <v>70</v>
      </c>
      <c r="F125" t="s">
        <v>166</v>
      </c>
      <c r="G125" t="s">
        <v>166</v>
      </c>
      <c r="H125" t="s">
        <v>85</v>
      </c>
      <c r="I125" t="s">
        <v>170</v>
      </c>
      <c r="J125" t="s">
        <v>174</v>
      </c>
      <c r="K125" t="s">
        <v>89</v>
      </c>
      <c r="N125" t="s">
        <v>88</v>
      </c>
      <c r="O125" t="s">
        <v>89</v>
      </c>
      <c r="P125" t="s">
        <v>89</v>
      </c>
      <c r="Q125" t="s">
        <v>89</v>
      </c>
      <c r="R125" s="19" t="s">
        <v>88</v>
      </c>
      <c r="T125" s="17">
        <v>2</v>
      </c>
      <c r="V125" s="17">
        <v>2</v>
      </c>
      <c r="W125" s="17">
        <v>1</v>
      </c>
      <c r="AB125" s="19">
        <v>1</v>
      </c>
      <c r="AD125" s="19">
        <v>1</v>
      </c>
      <c r="AE125" s="19">
        <v>1</v>
      </c>
      <c r="AG125" s="16">
        <v>0</v>
      </c>
      <c r="AH125" t="s">
        <v>330</v>
      </c>
      <c r="AI125">
        <v>10</v>
      </c>
      <c r="AJ125" t="s">
        <v>206</v>
      </c>
      <c r="AK125" t="s">
        <v>347</v>
      </c>
      <c r="AL125" t="s">
        <v>359</v>
      </c>
      <c r="AM125" t="s">
        <v>19</v>
      </c>
      <c r="AN125" t="s">
        <v>30</v>
      </c>
    </row>
    <row r="126" spans="1:40">
      <c r="A126" t="s">
        <v>372</v>
      </c>
      <c r="B126" t="s">
        <v>30</v>
      </c>
      <c r="C126" t="s">
        <v>363</v>
      </c>
      <c r="D126" t="s">
        <v>62</v>
      </c>
      <c r="E126" t="s">
        <v>62</v>
      </c>
      <c r="F126" t="s">
        <v>166</v>
      </c>
      <c r="G126" t="s">
        <v>166</v>
      </c>
      <c r="H126" t="s">
        <v>85</v>
      </c>
      <c r="I126" t="s">
        <v>169</v>
      </c>
      <c r="J126" t="s">
        <v>173</v>
      </c>
      <c r="K126" t="s">
        <v>89</v>
      </c>
      <c r="N126" t="s">
        <v>88</v>
      </c>
      <c r="O126" t="s">
        <v>89</v>
      </c>
      <c r="P126" t="s">
        <v>89</v>
      </c>
      <c r="Q126" t="s">
        <v>89</v>
      </c>
      <c r="R126" s="19" t="s">
        <v>88</v>
      </c>
      <c r="S126" s="17">
        <v>3</v>
      </c>
      <c r="T126" s="17">
        <v>1</v>
      </c>
      <c r="U126" s="17">
        <v>4</v>
      </c>
      <c r="V126" s="17">
        <v>1</v>
      </c>
      <c r="W126" s="17">
        <v>2</v>
      </c>
      <c r="X126" s="17">
        <v>1</v>
      </c>
      <c r="Y126" s="17">
        <v>1</v>
      </c>
      <c r="Z126" s="19">
        <v>1</v>
      </c>
      <c r="AD126" s="19">
        <v>1</v>
      </c>
      <c r="AG126" s="16">
        <v>0.75</v>
      </c>
      <c r="AH126" t="s">
        <v>330</v>
      </c>
      <c r="AI126">
        <v>10</v>
      </c>
      <c r="AJ126" t="s">
        <v>206</v>
      </c>
      <c r="AK126" t="s">
        <v>347</v>
      </c>
      <c r="AL126" t="s">
        <v>359</v>
      </c>
      <c r="AM126" t="s">
        <v>19</v>
      </c>
      <c r="AN126" t="s">
        <v>30</v>
      </c>
    </row>
    <row r="127" spans="1:40">
      <c r="A127" t="s">
        <v>372</v>
      </c>
      <c r="B127" t="s">
        <v>30</v>
      </c>
      <c r="C127" t="s">
        <v>363</v>
      </c>
      <c r="D127" t="s">
        <v>59</v>
      </c>
      <c r="E127" t="s">
        <v>59</v>
      </c>
      <c r="F127" t="s">
        <v>166</v>
      </c>
      <c r="G127" t="s">
        <v>166</v>
      </c>
      <c r="H127" t="s">
        <v>85</v>
      </c>
      <c r="I127" t="s">
        <v>167</v>
      </c>
      <c r="J127" t="s">
        <v>171</v>
      </c>
      <c r="K127" t="s">
        <v>89</v>
      </c>
      <c r="N127" t="s">
        <v>88</v>
      </c>
      <c r="O127" t="s">
        <v>89</v>
      </c>
      <c r="P127" t="s">
        <v>89</v>
      </c>
      <c r="Q127" t="s">
        <v>89</v>
      </c>
      <c r="R127" s="19" t="s">
        <v>88</v>
      </c>
      <c r="S127" s="17">
        <v>7</v>
      </c>
      <c r="U127" s="17">
        <v>9</v>
      </c>
      <c r="V127" s="17">
        <v>1</v>
      </c>
      <c r="Y127" s="17">
        <v>1</v>
      </c>
      <c r="Z127" s="19">
        <v>1</v>
      </c>
      <c r="AD127" s="19">
        <v>1</v>
      </c>
      <c r="AG127" s="16">
        <v>0.777778</v>
      </c>
      <c r="AH127" t="s">
        <v>330</v>
      </c>
      <c r="AI127">
        <v>10</v>
      </c>
      <c r="AJ127" t="s">
        <v>206</v>
      </c>
      <c r="AK127" t="s">
        <v>347</v>
      </c>
      <c r="AL127" t="s">
        <v>359</v>
      </c>
      <c r="AM127" t="s">
        <v>19</v>
      </c>
      <c r="AN127" t="s">
        <v>30</v>
      </c>
    </row>
    <row r="128" spans="1:40">
      <c r="A128" t="s">
        <v>372</v>
      </c>
      <c r="B128" t="s">
        <v>30</v>
      </c>
      <c r="C128" t="s">
        <v>363</v>
      </c>
      <c r="D128" t="s">
        <v>109</v>
      </c>
      <c r="E128" t="s">
        <v>109</v>
      </c>
      <c r="F128" t="s">
        <v>180</v>
      </c>
      <c r="G128" t="s">
        <v>180</v>
      </c>
      <c r="H128" t="s">
        <v>85</v>
      </c>
      <c r="I128" t="s">
        <v>181</v>
      </c>
      <c r="J128" t="s">
        <v>180</v>
      </c>
      <c r="K128" t="s">
        <v>89</v>
      </c>
      <c r="N128" t="s">
        <v>88</v>
      </c>
      <c r="O128" t="s">
        <v>89</v>
      </c>
      <c r="P128" t="s">
        <v>89</v>
      </c>
      <c r="Q128" t="s">
        <v>88</v>
      </c>
      <c r="R128" s="19" t="s">
        <v>88</v>
      </c>
      <c r="T128" s="17">
        <v>2</v>
      </c>
      <c r="Y128" s="17">
        <v>2</v>
      </c>
      <c r="AC128" s="19">
        <v>2</v>
      </c>
      <c r="AF128" s="16">
        <v>0.5</v>
      </c>
      <c r="AH128" t="s">
        <v>330</v>
      </c>
      <c r="AI128">
        <v>10</v>
      </c>
      <c r="AJ128" t="s">
        <v>206</v>
      </c>
      <c r="AK128" t="s">
        <v>347</v>
      </c>
      <c r="AL128" t="s">
        <v>359</v>
      </c>
      <c r="AM128" t="s">
        <v>19</v>
      </c>
      <c r="AN128" t="s">
        <v>30</v>
      </c>
    </row>
    <row r="129" spans="1:40">
      <c r="A129" t="s">
        <v>372</v>
      </c>
      <c r="B129" t="s">
        <v>30</v>
      </c>
      <c r="C129" t="s">
        <v>363</v>
      </c>
      <c r="D129" t="s">
        <v>110</v>
      </c>
      <c r="E129" t="s">
        <v>110</v>
      </c>
      <c r="F129" t="s">
        <v>180</v>
      </c>
      <c r="G129" t="s">
        <v>180</v>
      </c>
      <c r="H129" t="s">
        <v>85</v>
      </c>
      <c r="I129" t="s">
        <v>181</v>
      </c>
      <c r="J129" t="s">
        <v>180</v>
      </c>
      <c r="K129" t="s">
        <v>89</v>
      </c>
      <c r="N129" t="s">
        <v>88</v>
      </c>
      <c r="O129" t="s">
        <v>89</v>
      </c>
      <c r="P129" t="s">
        <v>89</v>
      </c>
      <c r="Q129" t="s">
        <v>88</v>
      </c>
      <c r="R129" s="19" t="s">
        <v>88</v>
      </c>
      <c r="T129" s="17">
        <v>1</v>
      </c>
      <c r="Y129" s="17">
        <v>6</v>
      </c>
      <c r="Z129" s="19">
        <v>1</v>
      </c>
      <c r="AB129" s="19">
        <v>1</v>
      </c>
      <c r="AC129" s="19">
        <v>5</v>
      </c>
      <c r="AF129" s="16">
        <v>0.545455</v>
      </c>
      <c r="AH129" t="s">
        <v>330</v>
      </c>
      <c r="AI129">
        <v>10</v>
      </c>
      <c r="AJ129" t="s">
        <v>206</v>
      </c>
      <c r="AK129" t="s">
        <v>347</v>
      </c>
      <c r="AL129" t="s">
        <v>359</v>
      </c>
      <c r="AM129" t="s">
        <v>19</v>
      </c>
      <c r="AN129" t="s">
        <v>30</v>
      </c>
    </row>
    <row r="130" spans="1:40">
      <c r="A130" t="s">
        <v>372</v>
      </c>
      <c r="B130" t="s">
        <v>30</v>
      </c>
      <c r="C130" t="s">
        <v>363</v>
      </c>
      <c r="D130" t="s">
        <v>111</v>
      </c>
      <c r="E130" t="s">
        <v>111</v>
      </c>
      <c r="F130" t="s">
        <v>180</v>
      </c>
      <c r="G130" t="s">
        <v>180</v>
      </c>
      <c r="H130" t="s">
        <v>86</v>
      </c>
      <c r="I130" t="s">
        <v>181</v>
      </c>
      <c r="J130" t="s">
        <v>180</v>
      </c>
      <c r="K130" t="s">
        <v>89</v>
      </c>
      <c r="N130" t="s">
        <v>88</v>
      </c>
      <c r="O130" t="s">
        <v>89</v>
      </c>
      <c r="P130" t="s">
        <v>89</v>
      </c>
      <c r="Q130" t="s">
        <v>88</v>
      </c>
      <c r="R130" s="19" t="s">
        <v>88</v>
      </c>
      <c r="AC130" s="19">
        <v>1</v>
      </c>
      <c r="AF130" s="16">
        <v>0</v>
      </c>
      <c r="AH130" t="s">
        <v>330</v>
      </c>
      <c r="AI130">
        <v>10</v>
      </c>
      <c r="AJ130" t="s">
        <v>206</v>
      </c>
      <c r="AK130" t="s">
        <v>347</v>
      </c>
      <c r="AL130" t="s">
        <v>359</v>
      </c>
      <c r="AM130" t="s">
        <v>19</v>
      </c>
      <c r="AN130" t="s">
        <v>30</v>
      </c>
    </row>
    <row r="131" spans="1:40">
      <c r="A131" t="s">
        <v>373</v>
      </c>
      <c r="B131" t="s">
        <v>51</v>
      </c>
      <c r="C131" t="s">
        <v>363</v>
      </c>
      <c r="D131" t="s">
        <v>63</v>
      </c>
      <c r="E131" t="s">
        <v>63</v>
      </c>
      <c r="F131" t="s">
        <v>166</v>
      </c>
      <c r="G131" t="s">
        <v>166</v>
      </c>
      <c r="H131" t="s">
        <v>85</v>
      </c>
      <c r="I131" t="s">
        <v>167</v>
      </c>
      <c r="J131" t="s">
        <v>171</v>
      </c>
      <c r="K131" t="s">
        <v>88</v>
      </c>
      <c r="L131" t="s">
        <v>175</v>
      </c>
      <c r="M131" t="s">
        <v>179</v>
      </c>
      <c r="N131" t="s">
        <v>88</v>
      </c>
      <c r="O131" t="s">
        <v>89</v>
      </c>
      <c r="P131" t="s">
        <v>89</v>
      </c>
      <c r="Q131" t="s">
        <v>89</v>
      </c>
      <c r="R131" s="19" t="s">
        <v>88</v>
      </c>
      <c r="S131" s="17">
        <v>1</v>
      </c>
      <c r="T131" s="17">
        <v>3</v>
      </c>
      <c r="U131" s="17">
        <v>3</v>
      </c>
      <c r="Z131" s="19">
        <v>1</v>
      </c>
      <c r="AE131" s="19">
        <v>1</v>
      </c>
      <c r="AG131" s="16">
        <v>0.333333</v>
      </c>
      <c r="AH131" t="s">
        <v>331</v>
      </c>
      <c r="AI131">
        <v>11</v>
      </c>
      <c r="AJ131" t="s">
        <v>203</v>
      </c>
      <c r="AK131" t="s">
        <v>344</v>
      </c>
      <c r="AL131" t="s">
        <v>353</v>
      </c>
      <c r="AM131" t="s">
        <v>18</v>
      </c>
      <c r="AN131" t="s">
        <v>51</v>
      </c>
    </row>
    <row r="132" spans="1:40">
      <c r="A132" t="s">
        <v>373</v>
      </c>
      <c r="B132" t="s">
        <v>51</v>
      </c>
      <c r="C132" t="s">
        <v>363</v>
      </c>
      <c r="D132" t="s">
        <v>69</v>
      </c>
      <c r="E132" t="s">
        <v>69</v>
      </c>
      <c r="F132" t="s">
        <v>166</v>
      </c>
      <c r="G132" t="s">
        <v>166</v>
      </c>
      <c r="H132" t="s">
        <v>85</v>
      </c>
      <c r="I132" t="s">
        <v>168</v>
      </c>
      <c r="J132" t="s">
        <v>172</v>
      </c>
      <c r="K132" t="s">
        <v>89</v>
      </c>
      <c r="N132" t="s">
        <v>88</v>
      </c>
      <c r="O132" t="s">
        <v>89</v>
      </c>
      <c r="P132" t="s">
        <v>89</v>
      </c>
      <c r="Q132" t="s">
        <v>89</v>
      </c>
      <c r="R132" s="19" t="s">
        <v>88</v>
      </c>
      <c r="S132" s="17">
        <v>2</v>
      </c>
      <c r="U132" s="17">
        <v>2</v>
      </c>
      <c r="V132" s="17">
        <v>1</v>
      </c>
      <c r="AB132" s="19">
        <v>1</v>
      </c>
      <c r="AG132" s="16">
        <v>1</v>
      </c>
      <c r="AH132" t="s">
        <v>331</v>
      </c>
      <c r="AI132">
        <v>11</v>
      </c>
      <c r="AJ132" t="s">
        <v>203</v>
      </c>
      <c r="AK132" t="s">
        <v>344</v>
      </c>
      <c r="AL132" t="s">
        <v>353</v>
      </c>
      <c r="AM132" t="s">
        <v>18</v>
      </c>
      <c r="AN132" t="s">
        <v>51</v>
      </c>
    </row>
    <row r="133" spans="1:40">
      <c r="A133" t="s">
        <v>373</v>
      </c>
      <c r="B133" t="s">
        <v>51</v>
      </c>
      <c r="C133" t="s">
        <v>363</v>
      </c>
      <c r="D133" t="s">
        <v>60</v>
      </c>
      <c r="E133" t="s">
        <v>60</v>
      </c>
      <c r="F133" t="s">
        <v>166</v>
      </c>
      <c r="G133" t="s">
        <v>166</v>
      </c>
      <c r="H133" t="s">
        <v>85</v>
      </c>
      <c r="I133" t="s">
        <v>167</v>
      </c>
      <c r="J133" t="s">
        <v>171</v>
      </c>
      <c r="K133" t="s">
        <v>88</v>
      </c>
      <c r="L133" t="s">
        <v>176</v>
      </c>
      <c r="M133" t="s">
        <v>138</v>
      </c>
      <c r="N133" t="s">
        <v>88</v>
      </c>
      <c r="O133" t="s">
        <v>89</v>
      </c>
      <c r="P133" t="s">
        <v>89</v>
      </c>
      <c r="Q133" t="s">
        <v>89</v>
      </c>
      <c r="R133" s="19" t="s">
        <v>88</v>
      </c>
      <c r="T133" s="17">
        <v>2</v>
      </c>
      <c r="U133" s="17">
        <v>1</v>
      </c>
      <c r="V133" s="17">
        <v>1</v>
      </c>
      <c r="W133" s="17">
        <v>2</v>
      </c>
      <c r="Z133" s="19">
        <v>1</v>
      </c>
      <c r="AE133" s="19">
        <v>1</v>
      </c>
      <c r="AG133" s="16">
        <v>0</v>
      </c>
      <c r="AH133" t="s">
        <v>331</v>
      </c>
      <c r="AI133">
        <v>11</v>
      </c>
      <c r="AJ133" t="s">
        <v>203</v>
      </c>
      <c r="AK133" t="s">
        <v>344</v>
      </c>
      <c r="AL133" t="s">
        <v>353</v>
      </c>
      <c r="AM133" t="s">
        <v>18</v>
      </c>
      <c r="AN133" t="s">
        <v>51</v>
      </c>
    </row>
    <row r="134" spans="1:40">
      <c r="A134" t="s">
        <v>373</v>
      </c>
      <c r="B134" t="s">
        <v>51</v>
      </c>
      <c r="C134" t="s">
        <v>363</v>
      </c>
      <c r="D134" t="s">
        <v>61</v>
      </c>
      <c r="E134" t="s">
        <v>61</v>
      </c>
      <c r="F134" t="s">
        <v>166</v>
      </c>
      <c r="G134" t="s">
        <v>166</v>
      </c>
      <c r="H134" t="s">
        <v>85</v>
      </c>
      <c r="I134" t="s">
        <v>169</v>
      </c>
      <c r="J134" t="s">
        <v>173</v>
      </c>
      <c r="K134" t="s">
        <v>88</v>
      </c>
      <c r="L134" t="s">
        <v>177</v>
      </c>
      <c r="M134" t="s">
        <v>138</v>
      </c>
      <c r="N134" t="s">
        <v>88</v>
      </c>
      <c r="O134" t="s">
        <v>89</v>
      </c>
      <c r="P134" t="s">
        <v>89</v>
      </c>
      <c r="Q134" t="s">
        <v>89</v>
      </c>
      <c r="R134" s="19" t="s">
        <v>88</v>
      </c>
      <c r="S134" s="17">
        <v>1</v>
      </c>
      <c r="T134" s="17">
        <v>1</v>
      </c>
      <c r="U134" s="17">
        <v>3</v>
      </c>
      <c r="V134" s="17">
        <v>1</v>
      </c>
      <c r="W134" s="17">
        <v>1</v>
      </c>
      <c r="Z134" s="19">
        <v>1</v>
      </c>
      <c r="AB134" s="19">
        <v>1</v>
      </c>
      <c r="AE134" s="19">
        <v>1</v>
      </c>
      <c r="AG134" s="16">
        <v>0.333333</v>
      </c>
      <c r="AH134" t="s">
        <v>331</v>
      </c>
      <c r="AI134">
        <v>11</v>
      </c>
      <c r="AJ134" t="s">
        <v>203</v>
      </c>
      <c r="AK134" t="s">
        <v>344</v>
      </c>
      <c r="AL134" t="s">
        <v>353</v>
      </c>
      <c r="AM134" t="s">
        <v>18</v>
      </c>
      <c r="AN134" t="s">
        <v>51</v>
      </c>
    </row>
    <row r="135" spans="1:40">
      <c r="A135" t="s">
        <v>373</v>
      </c>
      <c r="B135" t="s">
        <v>51</v>
      </c>
      <c r="C135" t="s">
        <v>363</v>
      </c>
      <c r="D135" t="s">
        <v>68</v>
      </c>
      <c r="E135" t="s">
        <v>68</v>
      </c>
      <c r="F135" t="s">
        <v>166</v>
      </c>
      <c r="G135" t="s">
        <v>166</v>
      </c>
      <c r="H135" t="s">
        <v>85</v>
      </c>
      <c r="I135" t="s">
        <v>170</v>
      </c>
      <c r="J135" t="s">
        <v>174</v>
      </c>
      <c r="K135" t="s">
        <v>89</v>
      </c>
      <c r="N135" t="s">
        <v>88</v>
      </c>
      <c r="O135" t="s">
        <v>89</v>
      </c>
      <c r="P135" t="s">
        <v>89</v>
      </c>
      <c r="Q135" t="s">
        <v>89</v>
      </c>
      <c r="R135" s="19" t="s">
        <v>88</v>
      </c>
      <c r="T135" s="17">
        <v>1</v>
      </c>
      <c r="U135" s="17">
        <v>2</v>
      </c>
      <c r="V135" s="17">
        <v>1</v>
      </c>
      <c r="W135" s="17">
        <v>3</v>
      </c>
      <c r="AG135" s="16">
        <v>0</v>
      </c>
      <c r="AH135" t="s">
        <v>331</v>
      </c>
      <c r="AI135">
        <v>11</v>
      </c>
      <c r="AJ135" t="s">
        <v>203</v>
      </c>
      <c r="AK135" t="s">
        <v>344</v>
      </c>
      <c r="AL135" t="s">
        <v>353</v>
      </c>
      <c r="AM135" t="s">
        <v>18</v>
      </c>
      <c r="AN135" t="s">
        <v>51</v>
      </c>
    </row>
    <row r="136" spans="1:40">
      <c r="A136" t="s">
        <v>373</v>
      </c>
      <c r="B136" t="s">
        <v>51</v>
      </c>
      <c r="C136" t="s">
        <v>363</v>
      </c>
      <c r="D136" t="s">
        <v>65</v>
      </c>
      <c r="E136" t="s">
        <v>65</v>
      </c>
      <c r="F136" t="s">
        <v>166</v>
      </c>
      <c r="G136" t="s">
        <v>166</v>
      </c>
      <c r="H136" t="s">
        <v>86</v>
      </c>
      <c r="I136" t="s">
        <v>170</v>
      </c>
      <c r="J136" t="s">
        <v>174</v>
      </c>
      <c r="K136" t="s">
        <v>89</v>
      </c>
      <c r="N136" t="s">
        <v>88</v>
      </c>
      <c r="O136" t="s">
        <v>89</v>
      </c>
      <c r="P136" t="s">
        <v>89</v>
      </c>
      <c r="Q136" t="s">
        <v>89</v>
      </c>
      <c r="R136" s="19" t="s">
        <v>88</v>
      </c>
      <c r="S136" s="17">
        <v>2</v>
      </c>
      <c r="T136" s="17">
        <v>1</v>
      </c>
      <c r="U136" s="17">
        <v>3</v>
      </c>
      <c r="V136" s="17">
        <v>2</v>
      </c>
      <c r="W136" s="17">
        <v>1</v>
      </c>
      <c r="AD136" s="19">
        <v>1</v>
      </c>
      <c r="AG136" s="16">
        <v>0.666667</v>
      </c>
      <c r="AH136" t="s">
        <v>331</v>
      </c>
      <c r="AI136">
        <v>11</v>
      </c>
      <c r="AJ136" t="s">
        <v>203</v>
      </c>
      <c r="AK136" t="s">
        <v>344</v>
      </c>
      <c r="AL136" t="s">
        <v>353</v>
      </c>
      <c r="AM136" t="s">
        <v>18</v>
      </c>
      <c r="AN136" t="s">
        <v>51</v>
      </c>
    </row>
    <row r="137" spans="1:40">
      <c r="A137" t="s">
        <v>373</v>
      </c>
      <c r="B137" t="s">
        <v>51</v>
      </c>
      <c r="C137" t="s">
        <v>363</v>
      </c>
      <c r="D137" t="s">
        <v>64</v>
      </c>
      <c r="E137" t="s">
        <v>64</v>
      </c>
      <c r="F137" t="s">
        <v>166</v>
      </c>
      <c r="G137" t="s">
        <v>166</v>
      </c>
      <c r="H137" t="s">
        <v>85</v>
      </c>
      <c r="I137" t="s">
        <v>168</v>
      </c>
      <c r="J137" t="s">
        <v>172</v>
      </c>
      <c r="K137" t="s">
        <v>88</v>
      </c>
      <c r="L137" t="s">
        <v>178</v>
      </c>
      <c r="M137" t="s">
        <v>138</v>
      </c>
      <c r="N137" t="s">
        <v>88</v>
      </c>
      <c r="O137" t="s">
        <v>89</v>
      </c>
      <c r="P137" t="s">
        <v>89</v>
      </c>
      <c r="Q137" t="s">
        <v>89</v>
      </c>
      <c r="R137" s="19" t="s">
        <v>88</v>
      </c>
      <c r="S137" s="17">
        <v>2</v>
      </c>
      <c r="U137" s="17">
        <v>7</v>
      </c>
      <c r="W137" s="17">
        <v>2</v>
      </c>
      <c r="AB137" s="19">
        <v>2</v>
      </c>
      <c r="AD137" s="19">
        <v>1</v>
      </c>
      <c r="AE137" s="19">
        <v>1</v>
      </c>
      <c r="AG137" s="16">
        <v>0.285714</v>
      </c>
      <c r="AH137" t="s">
        <v>331</v>
      </c>
      <c r="AI137">
        <v>11</v>
      </c>
      <c r="AJ137" t="s">
        <v>203</v>
      </c>
      <c r="AK137" t="s">
        <v>344</v>
      </c>
      <c r="AL137" t="s">
        <v>353</v>
      </c>
      <c r="AM137" t="s">
        <v>18</v>
      </c>
      <c r="AN137" t="s">
        <v>51</v>
      </c>
    </row>
    <row r="138" spans="1:40">
      <c r="A138" t="s">
        <v>373</v>
      </c>
      <c r="B138" t="s">
        <v>51</v>
      </c>
      <c r="C138" t="s">
        <v>363</v>
      </c>
      <c r="D138" t="s">
        <v>71</v>
      </c>
      <c r="E138" t="s">
        <v>71</v>
      </c>
      <c r="F138" t="s">
        <v>166</v>
      </c>
      <c r="G138" t="s">
        <v>166</v>
      </c>
      <c r="H138" t="s">
        <v>85</v>
      </c>
      <c r="I138" t="s">
        <v>170</v>
      </c>
      <c r="J138" t="s">
        <v>174</v>
      </c>
      <c r="K138" t="s">
        <v>89</v>
      </c>
      <c r="N138" t="s">
        <v>88</v>
      </c>
      <c r="O138" t="s">
        <v>89</v>
      </c>
      <c r="P138" t="s">
        <v>89</v>
      </c>
      <c r="Q138" t="s">
        <v>89</v>
      </c>
      <c r="R138" s="19" t="s">
        <v>88</v>
      </c>
      <c r="S138" s="17">
        <v>1</v>
      </c>
      <c r="T138" s="17">
        <v>1</v>
      </c>
      <c r="U138" s="17">
        <v>3</v>
      </c>
      <c r="W138" s="17">
        <v>1</v>
      </c>
      <c r="AB138" s="19">
        <v>1</v>
      </c>
      <c r="AG138" s="16">
        <v>0.333333</v>
      </c>
      <c r="AH138" t="s">
        <v>331</v>
      </c>
      <c r="AI138">
        <v>11</v>
      </c>
      <c r="AJ138" t="s">
        <v>203</v>
      </c>
      <c r="AK138" t="s">
        <v>344</v>
      </c>
      <c r="AL138" t="s">
        <v>353</v>
      </c>
      <c r="AM138" t="s">
        <v>18</v>
      </c>
      <c r="AN138" t="s">
        <v>51</v>
      </c>
    </row>
    <row r="139" spans="1:40">
      <c r="A139" t="s">
        <v>373</v>
      </c>
      <c r="B139" t="s">
        <v>51</v>
      </c>
      <c r="C139" t="s">
        <v>363</v>
      </c>
      <c r="D139" t="s">
        <v>66</v>
      </c>
      <c r="E139" t="s">
        <v>66</v>
      </c>
      <c r="F139" t="s">
        <v>166</v>
      </c>
      <c r="G139" t="s">
        <v>166</v>
      </c>
      <c r="H139" t="s">
        <v>85</v>
      </c>
      <c r="I139" t="s">
        <v>167</v>
      </c>
      <c r="J139" t="s">
        <v>171</v>
      </c>
      <c r="K139" t="s">
        <v>89</v>
      </c>
      <c r="N139" t="s">
        <v>88</v>
      </c>
      <c r="O139" t="s">
        <v>89</v>
      </c>
      <c r="P139" t="s">
        <v>89</v>
      </c>
      <c r="Q139" t="s">
        <v>89</v>
      </c>
      <c r="R139" s="19" t="s">
        <v>88</v>
      </c>
      <c r="S139" s="17">
        <v>2</v>
      </c>
      <c r="U139" s="17">
        <v>3</v>
      </c>
      <c r="X139" s="17">
        <v>1</v>
      </c>
      <c r="Z139" s="19">
        <v>3</v>
      </c>
      <c r="AB139" s="19">
        <v>1</v>
      </c>
      <c r="AG139" s="16">
        <v>0.666667</v>
      </c>
      <c r="AH139" t="s">
        <v>331</v>
      </c>
      <c r="AI139">
        <v>11</v>
      </c>
      <c r="AJ139" t="s">
        <v>203</v>
      </c>
      <c r="AK139" t="s">
        <v>344</v>
      </c>
      <c r="AL139" t="s">
        <v>353</v>
      </c>
      <c r="AM139" t="s">
        <v>18</v>
      </c>
      <c r="AN139" t="s">
        <v>51</v>
      </c>
    </row>
    <row r="140" spans="1:40">
      <c r="A140" t="s">
        <v>373</v>
      </c>
      <c r="B140" t="s">
        <v>51</v>
      </c>
      <c r="C140" t="s">
        <v>363</v>
      </c>
      <c r="D140" t="s">
        <v>70</v>
      </c>
      <c r="E140" t="s">
        <v>70</v>
      </c>
      <c r="F140" t="s">
        <v>166</v>
      </c>
      <c r="G140" t="s">
        <v>166</v>
      </c>
      <c r="H140" t="s">
        <v>85</v>
      </c>
      <c r="I140" t="s">
        <v>170</v>
      </c>
      <c r="J140" t="s">
        <v>174</v>
      </c>
      <c r="K140" t="s">
        <v>89</v>
      </c>
      <c r="N140" t="s">
        <v>88</v>
      </c>
      <c r="O140" t="s">
        <v>89</v>
      </c>
      <c r="P140" t="s">
        <v>89</v>
      </c>
      <c r="Q140" t="s">
        <v>89</v>
      </c>
      <c r="R140" s="19" t="s">
        <v>88</v>
      </c>
      <c r="T140" s="17">
        <v>1</v>
      </c>
      <c r="Z140" s="19">
        <v>1</v>
      </c>
      <c r="AB140" s="19">
        <v>1</v>
      </c>
      <c r="AG140" s="16">
        <v>0</v>
      </c>
      <c r="AH140" t="s">
        <v>331</v>
      </c>
      <c r="AI140">
        <v>11</v>
      </c>
      <c r="AJ140" t="s">
        <v>203</v>
      </c>
      <c r="AK140" t="s">
        <v>344</v>
      </c>
      <c r="AL140" t="s">
        <v>353</v>
      </c>
      <c r="AM140" t="s">
        <v>18</v>
      </c>
      <c r="AN140" t="s">
        <v>51</v>
      </c>
    </row>
    <row r="141" spans="1:40">
      <c r="A141" t="s">
        <v>373</v>
      </c>
      <c r="B141" t="s">
        <v>51</v>
      </c>
      <c r="C141" t="s">
        <v>363</v>
      </c>
      <c r="D141" t="s">
        <v>62</v>
      </c>
      <c r="E141" t="s">
        <v>62</v>
      </c>
      <c r="F141" t="s">
        <v>166</v>
      </c>
      <c r="G141" t="s">
        <v>166</v>
      </c>
      <c r="H141" t="s">
        <v>85</v>
      </c>
      <c r="I141" t="s">
        <v>169</v>
      </c>
      <c r="J141" t="s">
        <v>173</v>
      </c>
      <c r="K141" t="s">
        <v>89</v>
      </c>
      <c r="N141" t="s">
        <v>88</v>
      </c>
      <c r="O141" t="s">
        <v>89</v>
      </c>
      <c r="P141" t="s">
        <v>89</v>
      </c>
      <c r="Q141" t="s">
        <v>89</v>
      </c>
      <c r="R141" s="19" t="s">
        <v>88</v>
      </c>
      <c r="S141" s="17">
        <v>2</v>
      </c>
      <c r="U141" s="17">
        <v>2</v>
      </c>
      <c r="W141" s="17">
        <v>1</v>
      </c>
      <c r="AG141" s="16">
        <v>1</v>
      </c>
      <c r="AH141" t="s">
        <v>331</v>
      </c>
      <c r="AI141">
        <v>11</v>
      </c>
      <c r="AJ141" t="s">
        <v>203</v>
      </c>
      <c r="AK141" t="s">
        <v>344</v>
      </c>
      <c r="AL141" t="s">
        <v>353</v>
      </c>
      <c r="AM141" t="s">
        <v>18</v>
      </c>
      <c r="AN141" t="s">
        <v>51</v>
      </c>
    </row>
    <row r="142" spans="1:40">
      <c r="A142" t="s">
        <v>373</v>
      </c>
      <c r="B142" t="s">
        <v>51</v>
      </c>
      <c r="C142" t="s">
        <v>363</v>
      </c>
      <c r="D142" t="s">
        <v>59</v>
      </c>
      <c r="E142" t="s">
        <v>59</v>
      </c>
      <c r="F142" t="s">
        <v>166</v>
      </c>
      <c r="G142" t="s">
        <v>166</v>
      </c>
      <c r="H142" t="s">
        <v>85</v>
      </c>
      <c r="I142" t="s">
        <v>167</v>
      </c>
      <c r="J142" t="s">
        <v>171</v>
      </c>
      <c r="K142" t="s">
        <v>89</v>
      </c>
      <c r="N142" t="s">
        <v>88</v>
      </c>
      <c r="O142" t="s">
        <v>89</v>
      </c>
      <c r="P142" t="s">
        <v>89</v>
      </c>
      <c r="Q142" t="s">
        <v>89</v>
      </c>
      <c r="R142" s="19" t="s">
        <v>88</v>
      </c>
      <c r="S142" s="17">
        <v>3</v>
      </c>
      <c r="U142" s="17">
        <v>5</v>
      </c>
      <c r="V142" s="17">
        <v>3</v>
      </c>
      <c r="W142" s="17">
        <v>1</v>
      </c>
      <c r="X142" s="17">
        <v>1</v>
      </c>
      <c r="Z142" s="19">
        <v>1</v>
      </c>
      <c r="AA142" s="19">
        <v>1</v>
      </c>
      <c r="AB142" s="19">
        <v>3</v>
      </c>
      <c r="AD142" s="19">
        <v>1</v>
      </c>
      <c r="AE142" s="19">
        <v>2</v>
      </c>
      <c r="AG142" s="16">
        <v>0.6</v>
      </c>
      <c r="AH142" t="s">
        <v>331</v>
      </c>
      <c r="AI142">
        <v>11</v>
      </c>
      <c r="AJ142" t="s">
        <v>203</v>
      </c>
      <c r="AK142" t="s">
        <v>344</v>
      </c>
      <c r="AL142" t="s">
        <v>353</v>
      </c>
      <c r="AM142" t="s">
        <v>18</v>
      </c>
      <c r="AN142" t="s">
        <v>51</v>
      </c>
    </row>
    <row r="143" spans="1:40">
      <c r="A143" t="s">
        <v>373</v>
      </c>
      <c r="B143" t="s">
        <v>51</v>
      </c>
      <c r="C143" t="s">
        <v>363</v>
      </c>
      <c r="D143" t="s">
        <v>109</v>
      </c>
      <c r="E143" t="s">
        <v>109</v>
      </c>
      <c r="F143" t="s">
        <v>180</v>
      </c>
      <c r="G143" t="s">
        <v>180</v>
      </c>
      <c r="H143" t="s">
        <v>85</v>
      </c>
      <c r="I143" t="s">
        <v>181</v>
      </c>
      <c r="J143" t="s">
        <v>180</v>
      </c>
      <c r="K143" t="s">
        <v>89</v>
      </c>
      <c r="N143" t="s">
        <v>88</v>
      </c>
      <c r="O143" t="s">
        <v>89</v>
      </c>
      <c r="P143" t="s">
        <v>89</v>
      </c>
      <c r="Q143" t="s">
        <v>88</v>
      </c>
      <c r="R143" s="19" t="s">
        <v>88</v>
      </c>
      <c r="Y143" s="17">
        <v>2</v>
      </c>
      <c r="AC143" s="19">
        <v>3</v>
      </c>
      <c r="AF143" s="16">
        <v>0.4</v>
      </c>
      <c r="AH143" t="s">
        <v>331</v>
      </c>
      <c r="AI143">
        <v>11</v>
      </c>
      <c r="AJ143" t="s">
        <v>203</v>
      </c>
      <c r="AK143" t="s">
        <v>344</v>
      </c>
      <c r="AL143" t="s">
        <v>353</v>
      </c>
      <c r="AM143" t="s">
        <v>18</v>
      </c>
      <c r="AN143" t="s">
        <v>51</v>
      </c>
    </row>
    <row r="144" spans="1:40">
      <c r="A144" t="s">
        <v>373</v>
      </c>
      <c r="B144" t="s">
        <v>51</v>
      </c>
      <c r="C144" t="s">
        <v>363</v>
      </c>
      <c r="D144" t="s">
        <v>111</v>
      </c>
      <c r="E144" t="s">
        <v>111</v>
      </c>
      <c r="F144" t="s">
        <v>180</v>
      </c>
      <c r="G144" t="s">
        <v>180</v>
      </c>
      <c r="H144" t="s">
        <v>86</v>
      </c>
      <c r="I144" t="s">
        <v>181</v>
      </c>
      <c r="J144" t="s">
        <v>180</v>
      </c>
      <c r="K144" t="s">
        <v>89</v>
      </c>
      <c r="N144" t="s">
        <v>88</v>
      </c>
      <c r="O144" t="s">
        <v>89</v>
      </c>
      <c r="P144" t="s">
        <v>89</v>
      </c>
      <c r="Q144" t="s">
        <v>88</v>
      </c>
      <c r="R144" s="19" t="s">
        <v>88</v>
      </c>
      <c r="Y144" s="17">
        <v>7</v>
      </c>
      <c r="AC144" s="19">
        <v>9</v>
      </c>
      <c r="AE144" s="19">
        <v>1</v>
      </c>
      <c r="AF144" s="16">
        <v>0.4375</v>
      </c>
      <c r="AH144" t="s">
        <v>331</v>
      </c>
      <c r="AI144">
        <v>11</v>
      </c>
      <c r="AJ144" t="s">
        <v>203</v>
      </c>
      <c r="AK144" t="s">
        <v>344</v>
      </c>
      <c r="AL144" t="s">
        <v>353</v>
      </c>
      <c r="AM144" t="s">
        <v>18</v>
      </c>
      <c r="AN144" t="s">
        <v>51</v>
      </c>
    </row>
    <row r="145" spans="1:40">
      <c r="A145" t="s">
        <v>374</v>
      </c>
      <c r="B145" t="s">
        <v>49</v>
      </c>
      <c r="C145" t="s">
        <v>363</v>
      </c>
      <c r="D145" t="s">
        <v>63</v>
      </c>
      <c r="E145" t="s">
        <v>63</v>
      </c>
      <c r="F145" t="s">
        <v>166</v>
      </c>
      <c r="G145" t="s">
        <v>166</v>
      </c>
      <c r="H145" t="s">
        <v>85</v>
      </c>
      <c r="I145" t="s">
        <v>167</v>
      </c>
      <c r="J145" t="s">
        <v>171</v>
      </c>
      <c r="K145" t="s">
        <v>88</v>
      </c>
      <c r="L145" t="s">
        <v>175</v>
      </c>
      <c r="M145" t="s">
        <v>179</v>
      </c>
      <c r="N145" t="s">
        <v>88</v>
      </c>
      <c r="O145" t="s">
        <v>89</v>
      </c>
      <c r="P145" t="s">
        <v>89</v>
      </c>
      <c r="Q145" t="s">
        <v>89</v>
      </c>
      <c r="R145" s="19" t="s">
        <v>88</v>
      </c>
      <c r="S145" s="17">
        <v>1</v>
      </c>
      <c r="T145" s="17">
        <v>1</v>
      </c>
      <c r="U145" s="17">
        <v>2</v>
      </c>
      <c r="V145" s="17">
        <v>2</v>
      </c>
      <c r="Y145" s="17">
        <v>2</v>
      </c>
      <c r="AE145" s="19">
        <v>2</v>
      </c>
      <c r="AG145" s="16">
        <v>0.5</v>
      </c>
      <c r="AH145" t="s">
        <v>333</v>
      </c>
      <c r="AI145">
        <v>13</v>
      </c>
      <c r="AJ145" t="s">
        <v>204</v>
      </c>
      <c r="AK145" t="s">
        <v>346</v>
      </c>
      <c r="AL145" t="s">
        <v>353</v>
      </c>
      <c r="AM145" t="s">
        <v>18</v>
      </c>
      <c r="AN145" t="s">
        <v>49</v>
      </c>
    </row>
    <row r="146" spans="1:40">
      <c r="A146" t="s">
        <v>374</v>
      </c>
      <c r="B146" t="s">
        <v>49</v>
      </c>
      <c r="C146" t="s">
        <v>363</v>
      </c>
      <c r="D146" t="s">
        <v>69</v>
      </c>
      <c r="E146" t="s">
        <v>69</v>
      </c>
      <c r="F146" t="s">
        <v>166</v>
      </c>
      <c r="G146" t="s">
        <v>166</v>
      </c>
      <c r="H146" t="s">
        <v>85</v>
      </c>
      <c r="I146" t="s">
        <v>168</v>
      </c>
      <c r="J146" t="s">
        <v>172</v>
      </c>
      <c r="K146" t="s">
        <v>89</v>
      </c>
      <c r="N146" t="s">
        <v>88</v>
      </c>
      <c r="O146" t="s">
        <v>89</v>
      </c>
      <c r="P146" t="s">
        <v>89</v>
      </c>
      <c r="Q146" t="s">
        <v>89</v>
      </c>
      <c r="R146" s="19" t="s">
        <v>88</v>
      </c>
      <c r="W146" s="17">
        <v>1</v>
      </c>
      <c r="Y146" s="17">
        <v>1</v>
      </c>
      <c r="AB146" s="19">
        <v>1</v>
      </c>
      <c r="AG146" s="16">
        <v>0</v>
      </c>
      <c r="AH146" t="s">
        <v>333</v>
      </c>
      <c r="AI146">
        <v>13</v>
      </c>
      <c r="AJ146" t="s">
        <v>204</v>
      </c>
      <c r="AK146" t="s">
        <v>346</v>
      </c>
      <c r="AL146" t="s">
        <v>353</v>
      </c>
      <c r="AM146" t="s">
        <v>18</v>
      </c>
      <c r="AN146" t="s">
        <v>49</v>
      </c>
    </row>
    <row r="147" spans="1:40">
      <c r="A147" t="s">
        <v>374</v>
      </c>
      <c r="B147" t="s">
        <v>49</v>
      </c>
      <c r="C147" t="s">
        <v>363</v>
      </c>
      <c r="D147" t="s">
        <v>60</v>
      </c>
      <c r="E147" t="s">
        <v>60</v>
      </c>
      <c r="F147" t="s">
        <v>166</v>
      </c>
      <c r="G147" t="s">
        <v>166</v>
      </c>
      <c r="H147" t="s">
        <v>85</v>
      </c>
      <c r="I147" t="s">
        <v>167</v>
      </c>
      <c r="J147" t="s">
        <v>171</v>
      </c>
      <c r="K147" t="s">
        <v>88</v>
      </c>
      <c r="L147" t="s">
        <v>176</v>
      </c>
      <c r="M147" t="s">
        <v>138</v>
      </c>
      <c r="N147" t="s">
        <v>88</v>
      </c>
      <c r="O147" t="s">
        <v>89</v>
      </c>
      <c r="P147" t="s">
        <v>89</v>
      </c>
      <c r="Q147" t="s">
        <v>89</v>
      </c>
      <c r="R147" s="19" t="s">
        <v>88</v>
      </c>
      <c r="S147" s="17">
        <v>2</v>
      </c>
      <c r="U147" s="17">
        <v>5</v>
      </c>
      <c r="V147" s="17">
        <v>1</v>
      </c>
      <c r="Y147" s="17">
        <v>2</v>
      </c>
      <c r="AB147" s="19">
        <v>2</v>
      </c>
      <c r="AG147" s="16">
        <v>0.4</v>
      </c>
      <c r="AH147" t="s">
        <v>333</v>
      </c>
      <c r="AI147">
        <v>13</v>
      </c>
      <c r="AJ147" t="s">
        <v>204</v>
      </c>
      <c r="AK147" t="s">
        <v>346</v>
      </c>
      <c r="AL147" t="s">
        <v>353</v>
      </c>
      <c r="AM147" t="s">
        <v>18</v>
      </c>
      <c r="AN147" t="s">
        <v>49</v>
      </c>
    </row>
    <row r="148" spans="1:40">
      <c r="A148" t="s">
        <v>374</v>
      </c>
      <c r="B148" t="s">
        <v>49</v>
      </c>
      <c r="C148" t="s">
        <v>363</v>
      </c>
      <c r="D148" t="s">
        <v>61</v>
      </c>
      <c r="E148" t="s">
        <v>61</v>
      </c>
      <c r="F148" t="s">
        <v>166</v>
      </c>
      <c r="G148" t="s">
        <v>166</v>
      </c>
      <c r="H148" t="s">
        <v>85</v>
      </c>
      <c r="I148" t="s">
        <v>169</v>
      </c>
      <c r="J148" t="s">
        <v>173</v>
      </c>
      <c r="K148" t="s">
        <v>88</v>
      </c>
      <c r="L148" t="s">
        <v>177</v>
      </c>
      <c r="M148" t="s">
        <v>138</v>
      </c>
      <c r="N148" t="s">
        <v>88</v>
      </c>
      <c r="O148" t="s">
        <v>89</v>
      </c>
      <c r="P148" t="s">
        <v>89</v>
      </c>
      <c r="Q148" t="s">
        <v>89</v>
      </c>
      <c r="R148" s="19" t="s">
        <v>88</v>
      </c>
      <c r="S148" s="17">
        <v>1</v>
      </c>
      <c r="U148" s="17">
        <v>4</v>
      </c>
      <c r="W148" s="17">
        <v>3</v>
      </c>
      <c r="X148" s="17">
        <v>1</v>
      </c>
      <c r="Y148" s="17">
        <v>1</v>
      </c>
      <c r="Z148" s="19">
        <v>1</v>
      </c>
      <c r="AD148" s="19">
        <v>1</v>
      </c>
      <c r="AG148" s="16">
        <v>0.25</v>
      </c>
      <c r="AH148" t="s">
        <v>333</v>
      </c>
      <c r="AI148">
        <v>13</v>
      </c>
      <c r="AJ148" t="s">
        <v>204</v>
      </c>
      <c r="AK148" t="s">
        <v>346</v>
      </c>
      <c r="AL148" t="s">
        <v>353</v>
      </c>
      <c r="AM148" t="s">
        <v>18</v>
      </c>
      <c r="AN148" t="s">
        <v>49</v>
      </c>
    </row>
    <row r="149" spans="1:40">
      <c r="A149" t="s">
        <v>374</v>
      </c>
      <c r="B149" t="s">
        <v>49</v>
      </c>
      <c r="C149" t="s">
        <v>363</v>
      </c>
      <c r="D149" t="s">
        <v>68</v>
      </c>
      <c r="E149" t="s">
        <v>68</v>
      </c>
      <c r="F149" t="s">
        <v>166</v>
      </c>
      <c r="G149" t="s">
        <v>166</v>
      </c>
      <c r="H149" t="s">
        <v>85</v>
      </c>
      <c r="I149" t="s">
        <v>170</v>
      </c>
      <c r="J149" t="s">
        <v>174</v>
      </c>
      <c r="K149" t="s">
        <v>89</v>
      </c>
      <c r="N149" t="s">
        <v>88</v>
      </c>
      <c r="O149" t="s">
        <v>89</v>
      </c>
      <c r="P149" t="s">
        <v>89</v>
      </c>
      <c r="Q149" t="s">
        <v>89</v>
      </c>
      <c r="R149" s="19" t="s">
        <v>88</v>
      </c>
      <c r="T149" s="17">
        <v>1</v>
      </c>
      <c r="V149" s="17">
        <v>1</v>
      </c>
      <c r="AB149" s="19">
        <v>2</v>
      </c>
      <c r="AD149" s="19">
        <v>1</v>
      </c>
      <c r="AG149" s="16">
        <v>0</v>
      </c>
      <c r="AH149" t="s">
        <v>333</v>
      </c>
      <c r="AI149">
        <v>13</v>
      </c>
      <c r="AJ149" t="s">
        <v>204</v>
      </c>
      <c r="AK149" t="s">
        <v>346</v>
      </c>
      <c r="AL149" t="s">
        <v>353</v>
      </c>
      <c r="AM149" t="s">
        <v>18</v>
      </c>
      <c r="AN149" t="s">
        <v>49</v>
      </c>
    </row>
    <row r="150" spans="1:40">
      <c r="A150" t="s">
        <v>374</v>
      </c>
      <c r="B150" t="s">
        <v>49</v>
      </c>
      <c r="C150" t="s">
        <v>363</v>
      </c>
      <c r="D150" t="s">
        <v>64</v>
      </c>
      <c r="E150" t="s">
        <v>64</v>
      </c>
      <c r="F150" t="s">
        <v>166</v>
      </c>
      <c r="G150" t="s">
        <v>166</v>
      </c>
      <c r="H150" t="s">
        <v>85</v>
      </c>
      <c r="I150" t="s">
        <v>168</v>
      </c>
      <c r="J150" t="s">
        <v>172</v>
      </c>
      <c r="K150" t="s">
        <v>88</v>
      </c>
      <c r="L150" t="s">
        <v>178</v>
      </c>
      <c r="M150" t="s">
        <v>138</v>
      </c>
      <c r="N150" t="s">
        <v>88</v>
      </c>
      <c r="O150" t="s">
        <v>89</v>
      </c>
      <c r="P150" t="s">
        <v>89</v>
      </c>
      <c r="Q150" t="s">
        <v>89</v>
      </c>
      <c r="R150" s="19" t="s">
        <v>88</v>
      </c>
      <c r="T150" s="17">
        <v>2</v>
      </c>
      <c r="U150" s="17">
        <v>2</v>
      </c>
      <c r="V150" s="17">
        <v>1</v>
      </c>
      <c r="W150" s="17">
        <v>1</v>
      </c>
      <c r="X150" s="17">
        <v>1</v>
      </c>
      <c r="Y150" s="17">
        <v>1</v>
      </c>
      <c r="Z150" s="19">
        <v>1</v>
      </c>
      <c r="AG150" s="16">
        <v>0</v>
      </c>
      <c r="AH150" t="s">
        <v>333</v>
      </c>
      <c r="AI150">
        <v>13</v>
      </c>
      <c r="AJ150" t="s">
        <v>204</v>
      </c>
      <c r="AK150" t="s">
        <v>346</v>
      </c>
      <c r="AL150" t="s">
        <v>353</v>
      </c>
      <c r="AM150" t="s">
        <v>18</v>
      </c>
      <c r="AN150" t="s">
        <v>49</v>
      </c>
    </row>
    <row r="151" spans="1:40">
      <c r="A151" t="s">
        <v>374</v>
      </c>
      <c r="B151" t="s">
        <v>49</v>
      </c>
      <c r="C151" t="s">
        <v>363</v>
      </c>
      <c r="D151" t="s">
        <v>71</v>
      </c>
      <c r="E151" t="s">
        <v>71</v>
      </c>
      <c r="F151" t="s">
        <v>166</v>
      </c>
      <c r="G151" t="s">
        <v>166</v>
      </c>
      <c r="H151" t="s">
        <v>85</v>
      </c>
      <c r="I151" t="s">
        <v>170</v>
      </c>
      <c r="J151" t="s">
        <v>174</v>
      </c>
      <c r="K151" t="s">
        <v>89</v>
      </c>
      <c r="N151" t="s">
        <v>88</v>
      </c>
      <c r="O151" t="s">
        <v>89</v>
      </c>
      <c r="P151" t="s">
        <v>89</v>
      </c>
      <c r="Q151" t="s">
        <v>89</v>
      </c>
      <c r="R151" s="19" t="s">
        <v>88</v>
      </c>
      <c r="T151" s="17">
        <v>1</v>
      </c>
      <c r="Z151" s="19">
        <v>1</v>
      </c>
      <c r="AA151" s="19">
        <v>1</v>
      </c>
      <c r="AE151" s="19">
        <v>2</v>
      </c>
      <c r="AG151" s="16">
        <v>0</v>
      </c>
      <c r="AH151" t="s">
        <v>333</v>
      </c>
      <c r="AI151">
        <v>13</v>
      </c>
      <c r="AJ151" t="s">
        <v>204</v>
      </c>
      <c r="AK151" t="s">
        <v>346</v>
      </c>
      <c r="AL151" t="s">
        <v>353</v>
      </c>
      <c r="AM151" t="s">
        <v>18</v>
      </c>
      <c r="AN151" t="s">
        <v>49</v>
      </c>
    </row>
    <row r="152" spans="1:40">
      <c r="A152" t="s">
        <v>374</v>
      </c>
      <c r="B152" t="s">
        <v>49</v>
      </c>
      <c r="C152" t="s">
        <v>363</v>
      </c>
      <c r="D152" t="s">
        <v>129</v>
      </c>
      <c r="E152" t="s">
        <v>129</v>
      </c>
      <c r="F152" t="s">
        <v>166</v>
      </c>
      <c r="G152" t="s">
        <v>166</v>
      </c>
      <c r="H152" t="s">
        <v>85</v>
      </c>
      <c r="I152" t="s">
        <v>170</v>
      </c>
      <c r="J152" t="s">
        <v>174</v>
      </c>
      <c r="K152" t="s">
        <v>89</v>
      </c>
      <c r="N152" t="s">
        <v>88</v>
      </c>
      <c r="O152" t="s">
        <v>89</v>
      </c>
      <c r="P152" t="s">
        <v>88</v>
      </c>
      <c r="Q152" t="s">
        <v>89</v>
      </c>
      <c r="R152" s="19" t="s">
        <v>88</v>
      </c>
      <c r="AG152" s="16">
        <v>0</v>
      </c>
      <c r="AH152" t="s">
        <v>333</v>
      </c>
      <c r="AI152">
        <v>13</v>
      </c>
      <c r="AJ152" t="s">
        <v>204</v>
      </c>
      <c r="AK152" t="s">
        <v>346</v>
      </c>
      <c r="AL152" t="s">
        <v>353</v>
      </c>
      <c r="AM152" t="s">
        <v>18</v>
      </c>
      <c r="AN152" t="s">
        <v>49</v>
      </c>
    </row>
    <row r="153" spans="1:40">
      <c r="A153" t="s">
        <v>374</v>
      </c>
      <c r="B153" t="s">
        <v>49</v>
      </c>
      <c r="C153" t="s">
        <v>363</v>
      </c>
      <c r="D153" t="s">
        <v>66</v>
      </c>
      <c r="E153" t="s">
        <v>66</v>
      </c>
      <c r="F153" t="s">
        <v>166</v>
      </c>
      <c r="G153" t="s">
        <v>166</v>
      </c>
      <c r="H153" t="s">
        <v>85</v>
      </c>
      <c r="I153" t="s">
        <v>167</v>
      </c>
      <c r="J153" t="s">
        <v>171</v>
      </c>
      <c r="K153" t="s">
        <v>89</v>
      </c>
      <c r="N153" t="s">
        <v>88</v>
      </c>
      <c r="O153" t="s">
        <v>89</v>
      </c>
      <c r="P153" t="s">
        <v>89</v>
      </c>
      <c r="Q153" t="s">
        <v>89</v>
      </c>
      <c r="R153" s="19" t="s">
        <v>88</v>
      </c>
      <c r="S153" s="17">
        <v>1</v>
      </c>
      <c r="U153" s="17">
        <v>2</v>
      </c>
      <c r="V153" s="17">
        <v>1</v>
      </c>
      <c r="Z153" s="19">
        <v>1</v>
      </c>
      <c r="AG153" s="16">
        <v>0.5</v>
      </c>
      <c r="AH153" t="s">
        <v>333</v>
      </c>
      <c r="AI153">
        <v>13</v>
      </c>
      <c r="AJ153" t="s">
        <v>204</v>
      </c>
      <c r="AK153" t="s">
        <v>346</v>
      </c>
      <c r="AL153" t="s">
        <v>353</v>
      </c>
      <c r="AM153" t="s">
        <v>18</v>
      </c>
      <c r="AN153" t="s">
        <v>49</v>
      </c>
    </row>
    <row r="154" spans="1:40">
      <c r="A154" t="s">
        <v>374</v>
      </c>
      <c r="B154" t="s">
        <v>49</v>
      </c>
      <c r="C154" t="s">
        <v>363</v>
      </c>
      <c r="D154" t="s">
        <v>70</v>
      </c>
      <c r="E154" t="s">
        <v>70</v>
      </c>
      <c r="F154" t="s">
        <v>166</v>
      </c>
      <c r="G154" t="s">
        <v>166</v>
      </c>
      <c r="H154" t="s">
        <v>85</v>
      </c>
      <c r="I154" t="s">
        <v>170</v>
      </c>
      <c r="J154" t="s">
        <v>174</v>
      </c>
      <c r="K154" t="s">
        <v>89</v>
      </c>
      <c r="N154" t="s">
        <v>88</v>
      </c>
      <c r="O154" t="s">
        <v>89</v>
      </c>
      <c r="P154" t="s">
        <v>89</v>
      </c>
      <c r="Q154" t="s">
        <v>89</v>
      </c>
      <c r="R154" s="19" t="s">
        <v>88</v>
      </c>
      <c r="X154" s="17">
        <v>1</v>
      </c>
      <c r="Z154" s="19">
        <v>1</v>
      </c>
      <c r="AG154" s="16">
        <v>0</v>
      </c>
      <c r="AH154" t="s">
        <v>333</v>
      </c>
      <c r="AI154">
        <v>13</v>
      </c>
      <c r="AJ154" t="s">
        <v>204</v>
      </c>
      <c r="AK154" t="s">
        <v>346</v>
      </c>
      <c r="AL154" t="s">
        <v>353</v>
      </c>
      <c r="AM154" t="s">
        <v>18</v>
      </c>
      <c r="AN154" t="s">
        <v>49</v>
      </c>
    </row>
    <row r="155" spans="1:40">
      <c r="A155" t="s">
        <v>374</v>
      </c>
      <c r="B155" t="s">
        <v>49</v>
      </c>
      <c r="C155" t="s">
        <v>363</v>
      </c>
      <c r="D155" t="s">
        <v>62</v>
      </c>
      <c r="E155" t="s">
        <v>62</v>
      </c>
      <c r="F155" t="s">
        <v>166</v>
      </c>
      <c r="G155" t="s">
        <v>166</v>
      </c>
      <c r="H155" t="s">
        <v>85</v>
      </c>
      <c r="I155" t="s">
        <v>169</v>
      </c>
      <c r="J155" t="s">
        <v>173</v>
      </c>
      <c r="K155" t="s">
        <v>89</v>
      </c>
      <c r="N155" t="s">
        <v>88</v>
      </c>
      <c r="O155" t="s">
        <v>89</v>
      </c>
      <c r="P155" t="s">
        <v>89</v>
      </c>
      <c r="Q155" t="s">
        <v>89</v>
      </c>
      <c r="R155" s="19" t="s">
        <v>88</v>
      </c>
      <c r="S155" s="17">
        <v>1</v>
      </c>
      <c r="T155" s="17">
        <v>1</v>
      </c>
      <c r="U155" s="17">
        <v>1</v>
      </c>
      <c r="V155" s="17">
        <v>1</v>
      </c>
      <c r="W155" s="17">
        <v>5</v>
      </c>
      <c r="AD155" s="19">
        <v>2</v>
      </c>
      <c r="AG155" s="16">
        <v>1</v>
      </c>
      <c r="AH155" t="s">
        <v>333</v>
      </c>
      <c r="AI155">
        <v>13</v>
      </c>
      <c r="AJ155" t="s">
        <v>204</v>
      </c>
      <c r="AK155" t="s">
        <v>346</v>
      </c>
      <c r="AL155" t="s">
        <v>353</v>
      </c>
      <c r="AM155" t="s">
        <v>18</v>
      </c>
      <c r="AN155" t="s">
        <v>49</v>
      </c>
    </row>
    <row r="156" spans="1:40">
      <c r="A156" t="s">
        <v>374</v>
      </c>
      <c r="B156" t="s">
        <v>49</v>
      </c>
      <c r="C156" t="s">
        <v>363</v>
      </c>
      <c r="D156" t="s">
        <v>59</v>
      </c>
      <c r="E156" t="s">
        <v>59</v>
      </c>
      <c r="F156" t="s">
        <v>166</v>
      </c>
      <c r="G156" t="s">
        <v>166</v>
      </c>
      <c r="H156" t="s">
        <v>85</v>
      </c>
      <c r="I156" t="s">
        <v>167</v>
      </c>
      <c r="J156" t="s">
        <v>171</v>
      </c>
      <c r="K156" t="s">
        <v>89</v>
      </c>
      <c r="N156" t="s">
        <v>88</v>
      </c>
      <c r="O156" t="s">
        <v>89</v>
      </c>
      <c r="P156" t="s">
        <v>89</v>
      </c>
      <c r="Q156" t="s">
        <v>89</v>
      </c>
      <c r="R156" s="19" t="s">
        <v>88</v>
      </c>
      <c r="S156" s="17">
        <v>3</v>
      </c>
      <c r="U156" s="17">
        <v>10</v>
      </c>
      <c r="W156" s="17">
        <v>1</v>
      </c>
      <c r="Y156" s="17">
        <v>1</v>
      </c>
      <c r="Z156" s="19">
        <v>3</v>
      </c>
      <c r="AE156" s="19">
        <v>1</v>
      </c>
      <c r="AG156" s="16">
        <v>0.3</v>
      </c>
      <c r="AH156" t="s">
        <v>333</v>
      </c>
      <c r="AI156">
        <v>13</v>
      </c>
      <c r="AJ156" t="s">
        <v>204</v>
      </c>
      <c r="AK156" t="s">
        <v>346</v>
      </c>
      <c r="AL156" t="s">
        <v>353</v>
      </c>
      <c r="AM156" t="s">
        <v>18</v>
      </c>
      <c r="AN156" t="s">
        <v>49</v>
      </c>
    </row>
    <row r="157" spans="1:40">
      <c r="A157" t="s">
        <v>374</v>
      </c>
      <c r="B157" t="s">
        <v>49</v>
      </c>
      <c r="C157" t="s">
        <v>363</v>
      </c>
      <c r="D157" t="s">
        <v>110</v>
      </c>
      <c r="E157" t="s">
        <v>110</v>
      </c>
      <c r="F157" t="s">
        <v>180</v>
      </c>
      <c r="G157" t="s">
        <v>180</v>
      </c>
      <c r="H157" t="s">
        <v>85</v>
      </c>
      <c r="I157" t="s">
        <v>181</v>
      </c>
      <c r="J157" t="s">
        <v>180</v>
      </c>
      <c r="K157" t="s">
        <v>89</v>
      </c>
      <c r="N157" t="s">
        <v>88</v>
      </c>
      <c r="O157" t="s">
        <v>89</v>
      </c>
      <c r="P157" t="s">
        <v>89</v>
      </c>
      <c r="Q157" t="s">
        <v>88</v>
      </c>
      <c r="R157" s="19" t="s">
        <v>88</v>
      </c>
      <c r="T157" s="17">
        <v>1</v>
      </c>
      <c r="Y157" s="17">
        <v>3</v>
      </c>
      <c r="AC157" s="19">
        <v>5</v>
      </c>
      <c r="AF157" s="16">
        <v>0.375</v>
      </c>
      <c r="AH157" t="s">
        <v>333</v>
      </c>
      <c r="AI157">
        <v>13</v>
      </c>
      <c r="AJ157" t="s">
        <v>204</v>
      </c>
      <c r="AK157" t="s">
        <v>346</v>
      </c>
      <c r="AL157" t="s">
        <v>353</v>
      </c>
      <c r="AM157" t="s">
        <v>18</v>
      </c>
      <c r="AN157" t="s">
        <v>49</v>
      </c>
    </row>
    <row r="158" spans="1:40">
      <c r="A158" t="s">
        <v>374</v>
      </c>
      <c r="B158" t="s">
        <v>49</v>
      </c>
      <c r="C158" t="s">
        <v>363</v>
      </c>
      <c r="D158" t="s">
        <v>111</v>
      </c>
      <c r="E158" t="s">
        <v>111</v>
      </c>
      <c r="F158" t="s">
        <v>180</v>
      </c>
      <c r="G158" t="s">
        <v>180</v>
      </c>
      <c r="H158" t="s">
        <v>86</v>
      </c>
      <c r="I158" t="s">
        <v>181</v>
      </c>
      <c r="J158" t="s">
        <v>180</v>
      </c>
      <c r="K158" t="s">
        <v>89</v>
      </c>
      <c r="N158" t="s">
        <v>88</v>
      </c>
      <c r="O158" t="s">
        <v>89</v>
      </c>
      <c r="P158" t="s">
        <v>89</v>
      </c>
      <c r="Q158" t="s">
        <v>88</v>
      </c>
      <c r="R158" s="19" t="s">
        <v>88</v>
      </c>
      <c r="Y158" s="17">
        <v>3</v>
      </c>
      <c r="AC158" s="19">
        <v>3</v>
      </c>
      <c r="AF158" s="16">
        <v>0.5</v>
      </c>
      <c r="AH158" t="s">
        <v>333</v>
      </c>
      <c r="AI158">
        <v>13</v>
      </c>
      <c r="AJ158" t="s">
        <v>204</v>
      </c>
      <c r="AK158" t="s">
        <v>346</v>
      </c>
      <c r="AL158" t="s">
        <v>353</v>
      </c>
      <c r="AM158" t="s">
        <v>18</v>
      </c>
      <c r="AN158" t="s">
        <v>49</v>
      </c>
    </row>
    <row r="159" spans="1:40">
      <c r="A159" t="s">
        <v>375</v>
      </c>
      <c r="B159" t="s">
        <v>47</v>
      </c>
      <c r="C159" t="s">
        <v>363</v>
      </c>
      <c r="D159" t="s">
        <v>63</v>
      </c>
      <c r="E159" t="s">
        <v>63</v>
      </c>
      <c r="F159" t="s">
        <v>166</v>
      </c>
      <c r="G159" t="s">
        <v>166</v>
      </c>
      <c r="H159" t="s">
        <v>85</v>
      </c>
      <c r="I159" t="s">
        <v>167</v>
      </c>
      <c r="J159" t="s">
        <v>171</v>
      </c>
      <c r="K159" t="s">
        <v>88</v>
      </c>
      <c r="L159" t="s">
        <v>175</v>
      </c>
      <c r="M159" t="s">
        <v>179</v>
      </c>
      <c r="N159" t="s">
        <v>88</v>
      </c>
      <c r="O159" t="s">
        <v>89</v>
      </c>
      <c r="P159" t="s">
        <v>89</v>
      </c>
      <c r="Q159" t="s">
        <v>89</v>
      </c>
      <c r="R159" s="19" t="s">
        <v>88</v>
      </c>
      <c r="S159" s="17">
        <v>1</v>
      </c>
      <c r="T159" s="17">
        <v>2</v>
      </c>
      <c r="U159" s="17">
        <v>2</v>
      </c>
      <c r="Y159" s="17">
        <v>2</v>
      </c>
      <c r="AG159" s="16">
        <v>0.5</v>
      </c>
      <c r="AH159" t="s">
        <v>334</v>
      </c>
      <c r="AI159">
        <v>14</v>
      </c>
      <c r="AJ159" t="s">
        <v>205</v>
      </c>
      <c r="AK159" t="s">
        <v>349</v>
      </c>
      <c r="AL159" t="s">
        <v>353</v>
      </c>
      <c r="AM159" t="s">
        <v>19</v>
      </c>
      <c r="AN159" t="s">
        <v>47</v>
      </c>
    </row>
    <row r="160" spans="1:40">
      <c r="A160" t="s">
        <v>375</v>
      </c>
      <c r="B160" t="s">
        <v>47</v>
      </c>
      <c r="C160" t="s">
        <v>363</v>
      </c>
      <c r="D160" t="s">
        <v>69</v>
      </c>
      <c r="E160" t="s">
        <v>69</v>
      </c>
      <c r="F160" t="s">
        <v>166</v>
      </c>
      <c r="G160" t="s">
        <v>166</v>
      </c>
      <c r="H160" t="s">
        <v>85</v>
      </c>
      <c r="I160" t="s">
        <v>168</v>
      </c>
      <c r="J160" t="s">
        <v>172</v>
      </c>
      <c r="K160" t="s">
        <v>89</v>
      </c>
      <c r="N160" t="s">
        <v>88</v>
      </c>
      <c r="O160" t="s">
        <v>89</v>
      </c>
      <c r="P160" t="s">
        <v>89</v>
      </c>
      <c r="Q160" t="s">
        <v>89</v>
      </c>
      <c r="R160" s="19" t="s">
        <v>88</v>
      </c>
      <c r="U160" s="17">
        <v>4</v>
      </c>
      <c r="V160" s="17">
        <v>1</v>
      </c>
      <c r="W160" s="17">
        <v>1</v>
      </c>
      <c r="Y160" s="17">
        <v>1</v>
      </c>
      <c r="Z160" s="19">
        <v>2</v>
      </c>
      <c r="AD160" s="19">
        <v>1</v>
      </c>
      <c r="AG160" s="16">
        <v>0</v>
      </c>
      <c r="AH160" t="s">
        <v>334</v>
      </c>
      <c r="AI160">
        <v>14</v>
      </c>
      <c r="AJ160" t="s">
        <v>205</v>
      </c>
      <c r="AK160" t="s">
        <v>349</v>
      </c>
      <c r="AL160" t="s">
        <v>353</v>
      </c>
      <c r="AM160" t="s">
        <v>19</v>
      </c>
      <c r="AN160" t="s">
        <v>47</v>
      </c>
    </row>
    <row r="161" spans="1:40">
      <c r="A161" t="s">
        <v>375</v>
      </c>
      <c r="B161" t="s">
        <v>47</v>
      </c>
      <c r="C161" t="s">
        <v>363</v>
      </c>
      <c r="D161" t="s">
        <v>60</v>
      </c>
      <c r="E161" t="s">
        <v>60</v>
      </c>
      <c r="F161" t="s">
        <v>166</v>
      </c>
      <c r="G161" t="s">
        <v>166</v>
      </c>
      <c r="H161" t="s">
        <v>85</v>
      </c>
      <c r="I161" t="s">
        <v>167</v>
      </c>
      <c r="J161" t="s">
        <v>171</v>
      </c>
      <c r="K161" t="s">
        <v>88</v>
      </c>
      <c r="L161" t="s">
        <v>176</v>
      </c>
      <c r="M161" t="s">
        <v>138</v>
      </c>
      <c r="N161" t="s">
        <v>88</v>
      </c>
      <c r="O161" t="s">
        <v>89</v>
      </c>
      <c r="P161" t="s">
        <v>89</v>
      </c>
      <c r="Q161" t="s">
        <v>89</v>
      </c>
      <c r="R161" s="19" t="s">
        <v>88</v>
      </c>
      <c r="S161" s="17">
        <v>5</v>
      </c>
      <c r="U161" s="17">
        <v>8</v>
      </c>
      <c r="V161" s="17">
        <v>2</v>
      </c>
      <c r="Y161" s="17">
        <v>2</v>
      </c>
      <c r="Z161" s="19">
        <v>1</v>
      </c>
      <c r="AD161" s="19">
        <v>1</v>
      </c>
      <c r="AG161" s="16">
        <v>0.625</v>
      </c>
      <c r="AH161" t="s">
        <v>334</v>
      </c>
      <c r="AI161">
        <v>14</v>
      </c>
      <c r="AJ161" t="s">
        <v>205</v>
      </c>
      <c r="AK161" t="s">
        <v>349</v>
      </c>
      <c r="AL161" t="s">
        <v>353</v>
      </c>
      <c r="AM161" t="s">
        <v>19</v>
      </c>
      <c r="AN161" t="s">
        <v>47</v>
      </c>
    </row>
    <row r="162" spans="1:40">
      <c r="A162" t="s">
        <v>375</v>
      </c>
      <c r="B162" t="s">
        <v>47</v>
      </c>
      <c r="C162" t="s">
        <v>363</v>
      </c>
      <c r="D162" t="s">
        <v>61</v>
      </c>
      <c r="E162" t="s">
        <v>61</v>
      </c>
      <c r="F162" t="s">
        <v>166</v>
      </c>
      <c r="G162" t="s">
        <v>166</v>
      </c>
      <c r="H162" t="s">
        <v>85</v>
      </c>
      <c r="I162" t="s">
        <v>169</v>
      </c>
      <c r="J162" t="s">
        <v>173</v>
      </c>
      <c r="K162" t="s">
        <v>88</v>
      </c>
      <c r="L162" t="s">
        <v>177</v>
      </c>
      <c r="M162" t="s">
        <v>138</v>
      </c>
      <c r="N162" t="s">
        <v>88</v>
      </c>
      <c r="O162" t="s">
        <v>89</v>
      </c>
      <c r="P162" t="s">
        <v>89</v>
      </c>
      <c r="Q162" t="s">
        <v>89</v>
      </c>
      <c r="R162" s="19" t="s">
        <v>88</v>
      </c>
      <c r="S162" s="17">
        <v>1</v>
      </c>
      <c r="U162" s="17">
        <v>3</v>
      </c>
      <c r="V162" s="17">
        <v>2</v>
      </c>
      <c r="W162" s="17">
        <v>4</v>
      </c>
      <c r="X162" s="17">
        <v>2</v>
      </c>
      <c r="Z162" s="19">
        <v>1</v>
      </c>
      <c r="AD162" s="19">
        <v>4</v>
      </c>
      <c r="AE162" s="19">
        <v>1</v>
      </c>
      <c r="AG162" s="16">
        <v>0.333333</v>
      </c>
      <c r="AH162" t="s">
        <v>334</v>
      </c>
      <c r="AI162">
        <v>14</v>
      </c>
      <c r="AJ162" t="s">
        <v>205</v>
      </c>
      <c r="AK162" t="s">
        <v>349</v>
      </c>
      <c r="AL162" t="s">
        <v>353</v>
      </c>
      <c r="AM162" t="s">
        <v>19</v>
      </c>
      <c r="AN162" t="s">
        <v>47</v>
      </c>
    </row>
    <row r="163" spans="1:40">
      <c r="A163" t="s">
        <v>375</v>
      </c>
      <c r="B163" t="s">
        <v>47</v>
      </c>
      <c r="C163" t="s">
        <v>363</v>
      </c>
      <c r="D163" t="s">
        <v>68</v>
      </c>
      <c r="E163" t="s">
        <v>68</v>
      </c>
      <c r="F163" t="s">
        <v>166</v>
      </c>
      <c r="G163" t="s">
        <v>166</v>
      </c>
      <c r="H163" t="s">
        <v>85</v>
      </c>
      <c r="I163" t="s">
        <v>170</v>
      </c>
      <c r="J163" t="s">
        <v>174</v>
      </c>
      <c r="K163" t="s">
        <v>89</v>
      </c>
      <c r="N163" t="s">
        <v>88</v>
      </c>
      <c r="O163" t="s">
        <v>89</v>
      </c>
      <c r="P163" t="s">
        <v>89</v>
      </c>
      <c r="Q163" t="s">
        <v>89</v>
      </c>
      <c r="R163" s="19" t="s">
        <v>88</v>
      </c>
      <c r="T163" s="17">
        <v>1</v>
      </c>
      <c r="U163" s="17">
        <v>1</v>
      </c>
      <c r="X163" s="17">
        <v>2</v>
      </c>
      <c r="Z163" s="19">
        <v>2</v>
      </c>
      <c r="AG163" s="16">
        <v>0</v>
      </c>
      <c r="AH163" t="s">
        <v>334</v>
      </c>
      <c r="AI163">
        <v>14</v>
      </c>
      <c r="AJ163" t="s">
        <v>205</v>
      </c>
      <c r="AK163" t="s">
        <v>349</v>
      </c>
      <c r="AL163" t="s">
        <v>353</v>
      </c>
      <c r="AM163" t="s">
        <v>19</v>
      </c>
      <c r="AN163" t="s">
        <v>47</v>
      </c>
    </row>
    <row r="164" spans="1:40">
      <c r="A164" t="s">
        <v>375</v>
      </c>
      <c r="B164" t="s">
        <v>47</v>
      </c>
      <c r="C164" t="s">
        <v>363</v>
      </c>
      <c r="D164" t="s">
        <v>65</v>
      </c>
      <c r="E164" t="s">
        <v>65</v>
      </c>
      <c r="F164" t="s">
        <v>166</v>
      </c>
      <c r="G164" t="s">
        <v>166</v>
      </c>
      <c r="H164" t="s">
        <v>86</v>
      </c>
      <c r="I164" t="s">
        <v>170</v>
      </c>
      <c r="J164" t="s">
        <v>174</v>
      </c>
      <c r="K164" t="s">
        <v>89</v>
      </c>
      <c r="N164" t="s">
        <v>88</v>
      </c>
      <c r="O164" t="s">
        <v>89</v>
      </c>
      <c r="P164" t="s">
        <v>89</v>
      </c>
      <c r="Q164" t="s">
        <v>89</v>
      </c>
      <c r="R164" s="19" t="s">
        <v>88</v>
      </c>
      <c r="S164" s="17">
        <v>1</v>
      </c>
      <c r="U164" s="17">
        <v>3</v>
      </c>
      <c r="V164" s="17">
        <v>1</v>
      </c>
      <c r="AG164" s="16">
        <v>0.333333</v>
      </c>
      <c r="AH164" t="s">
        <v>334</v>
      </c>
      <c r="AI164">
        <v>14</v>
      </c>
      <c r="AJ164" t="s">
        <v>205</v>
      </c>
      <c r="AK164" t="s">
        <v>349</v>
      </c>
      <c r="AL164" t="s">
        <v>353</v>
      </c>
      <c r="AM164" t="s">
        <v>19</v>
      </c>
      <c r="AN164" t="s">
        <v>47</v>
      </c>
    </row>
    <row r="165" spans="1:40">
      <c r="A165" t="s">
        <v>375</v>
      </c>
      <c r="B165" t="s">
        <v>47</v>
      </c>
      <c r="C165" t="s">
        <v>363</v>
      </c>
      <c r="D165" t="s">
        <v>64</v>
      </c>
      <c r="E165" t="s">
        <v>64</v>
      </c>
      <c r="F165" t="s">
        <v>166</v>
      </c>
      <c r="G165" t="s">
        <v>166</v>
      </c>
      <c r="H165" t="s">
        <v>85</v>
      </c>
      <c r="I165" t="s">
        <v>168</v>
      </c>
      <c r="J165" t="s">
        <v>172</v>
      </c>
      <c r="K165" t="s">
        <v>88</v>
      </c>
      <c r="L165" t="s">
        <v>178</v>
      </c>
      <c r="M165" t="s">
        <v>138</v>
      </c>
      <c r="N165" t="s">
        <v>88</v>
      </c>
      <c r="O165" t="s">
        <v>89</v>
      </c>
      <c r="P165" t="s">
        <v>89</v>
      </c>
      <c r="Q165" t="s">
        <v>89</v>
      </c>
      <c r="R165" s="19" t="s">
        <v>88</v>
      </c>
      <c r="S165" s="17">
        <v>2</v>
      </c>
      <c r="T165" s="17">
        <v>1</v>
      </c>
      <c r="U165" s="17">
        <v>5</v>
      </c>
      <c r="V165" s="17">
        <v>1</v>
      </c>
      <c r="W165" s="17">
        <v>4</v>
      </c>
      <c r="X165" s="17">
        <v>1</v>
      </c>
      <c r="Y165" s="17">
        <v>2</v>
      </c>
      <c r="Z165" s="19">
        <v>2</v>
      </c>
      <c r="AD165" s="19">
        <v>2</v>
      </c>
      <c r="AG165" s="16">
        <v>0.4</v>
      </c>
      <c r="AH165" t="s">
        <v>334</v>
      </c>
      <c r="AI165">
        <v>14</v>
      </c>
      <c r="AJ165" t="s">
        <v>205</v>
      </c>
      <c r="AK165" t="s">
        <v>349</v>
      </c>
      <c r="AL165" t="s">
        <v>353</v>
      </c>
      <c r="AM165" t="s">
        <v>19</v>
      </c>
      <c r="AN165" t="s">
        <v>47</v>
      </c>
    </row>
    <row r="166" spans="1:40">
      <c r="A166" t="s">
        <v>375</v>
      </c>
      <c r="B166" t="s">
        <v>47</v>
      </c>
      <c r="C166" t="s">
        <v>363</v>
      </c>
      <c r="D166" t="s">
        <v>71</v>
      </c>
      <c r="E166" t="s">
        <v>71</v>
      </c>
      <c r="F166" t="s">
        <v>166</v>
      </c>
      <c r="G166" t="s">
        <v>166</v>
      </c>
      <c r="H166" t="s">
        <v>85</v>
      </c>
      <c r="I166" t="s">
        <v>170</v>
      </c>
      <c r="J166" t="s">
        <v>174</v>
      </c>
      <c r="K166" t="s">
        <v>89</v>
      </c>
      <c r="N166" t="s">
        <v>88</v>
      </c>
      <c r="O166" t="s">
        <v>89</v>
      </c>
      <c r="P166" t="s">
        <v>89</v>
      </c>
      <c r="Q166" t="s">
        <v>89</v>
      </c>
      <c r="R166" s="19" t="s">
        <v>88</v>
      </c>
      <c r="S166" s="17">
        <v>1</v>
      </c>
      <c r="U166" s="17">
        <v>2</v>
      </c>
      <c r="V166" s="17">
        <v>2</v>
      </c>
      <c r="W166" s="17">
        <v>1</v>
      </c>
      <c r="Z166" s="19">
        <v>1</v>
      </c>
      <c r="AD166" s="19">
        <v>3</v>
      </c>
      <c r="AG166" s="16">
        <v>0.5</v>
      </c>
      <c r="AH166" t="s">
        <v>334</v>
      </c>
      <c r="AI166">
        <v>14</v>
      </c>
      <c r="AJ166" t="s">
        <v>205</v>
      </c>
      <c r="AK166" t="s">
        <v>349</v>
      </c>
      <c r="AL166" t="s">
        <v>353</v>
      </c>
      <c r="AM166" t="s">
        <v>19</v>
      </c>
      <c r="AN166" t="s">
        <v>47</v>
      </c>
    </row>
    <row r="167" spans="1:40">
      <c r="A167" t="s">
        <v>375</v>
      </c>
      <c r="B167" t="s">
        <v>47</v>
      </c>
      <c r="C167" t="s">
        <v>363</v>
      </c>
      <c r="D167" t="s">
        <v>66</v>
      </c>
      <c r="E167" t="s">
        <v>66</v>
      </c>
      <c r="F167" t="s">
        <v>166</v>
      </c>
      <c r="G167" t="s">
        <v>166</v>
      </c>
      <c r="H167" t="s">
        <v>85</v>
      </c>
      <c r="I167" t="s">
        <v>167</v>
      </c>
      <c r="J167" t="s">
        <v>171</v>
      </c>
      <c r="K167" t="s">
        <v>89</v>
      </c>
      <c r="N167" t="s">
        <v>88</v>
      </c>
      <c r="O167" t="s">
        <v>89</v>
      </c>
      <c r="P167" t="s">
        <v>89</v>
      </c>
      <c r="Q167" t="s">
        <v>89</v>
      </c>
      <c r="R167" s="19" t="s">
        <v>88</v>
      </c>
      <c r="T167" s="17">
        <v>2</v>
      </c>
      <c r="U167" s="17">
        <v>1</v>
      </c>
      <c r="Y167" s="17">
        <v>1</v>
      </c>
      <c r="Z167" s="19">
        <v>1</v>
      </c>
      <c r="AA167" s="19">
        <v>1</v>
      </c>
      <c r="AB167" s="19">
        <v>1</v>
      </c>
      <c r="AG167" s="16">
        <v>0</v>
      </c>
      <c r="AH167" t="s">
        <v>334</v>
      </c>
      <c r="AI167">
        <v>14</v>
      </c>
      <c r="AJ167" t="s">
        <v>205</v>
      </c>
      <c r="AK167" t="s">
        <v>349</v>
      </c>
      <c r="AL167" t="s">
        <v>353</v>
      </c>
      <c r="AM167" t="s">
        <v>19</v>
      </c>
      <c r="AN167" t="s">
        <v>47</v>
      </c>
    </row>
    <row r="168" spans="1:40">
      <c r="A168" t="s">
        <v>375</v>
      </c>
      <c r="B168" t="s">
        <v>47</v>
      </c>
      <c r="C168" t="s">
        <v>363</v>
      </c>
      <c r="D168" t="s">
        <v>70</v>
      </c>
      <c r="E168" t="s">
        <v>70</v>
      </c>
      <c r="F168" t="s">
        <v>166</v>
      </c>
      <c r="G168" t="s">
        <v>166</v>
      </c>
      <c r="H168" t="s">
        <v>85</v>
      </c>
      <c r="I168" t="s">
        <v>170</v>
      </c>
      <c r="J168" t="s">
        <v>174</v>
      </c>
      <c r="K168" t="s">
        <v>89</v>
      </c>
      <c r="N168" t="s">
        <v>88</v>
      </c>
      <c r="O168" t="s">
        <v>89</v>
      </c>
      <c r="P168" t="s">
        <v>89</v>
      </c>
      <c r="Q168" t="s">
        <v>89</v>
      </c>
      <c r="R168" s="19" t="s">
        <v>88</v>
      </c>
      <c r="T168" s="17">
        <v>1</v>
      </c>
      <c r="U168" s="17">
        <v>2</v>
      </c>
      <c r="Y168" s="17">
        <v>1</v>
      </c>
      <c r="AG168" s="16">
        <v>0</v>
      </c>
      <c r="AH168" t="s">
        <v>334</v>
      </c>
      <c r="AI168">
        <v>14</v>
      </c>
      <c r="AJ168" t="s">
        <v>205</v>
      </c>
      <c r="AK168" t="s">
        <v>349</v>
      </c>
      <c r="AL168" t="s">
        <v>353</v>
      </c>
      <c r="AM168" t="s">
        <v>19</v>
      </c>
      <c r="AN168" t="s">
        <v>47</v>
      </c>
    </row>
    <row r="169" spans="1:40">
      <c r="A169" t="s">
        <v>375</v>
      </c>
      <c r="B169" t="s">
        <v>47</v>
      </c>
      <c r="C169" t="s">
        <v>363</v>
      </c>
      <c r="D169" t="s">
        <v>62</v>
      </c>
      <c r="E169" t="s">
        <v>62</v>
      </c>
      <c r="F169" t="s">
        <v>166</v>
      </c>
      <c r="G169" t="s">
        <v>166</v>
      </c>
      <c r="H169" t="s">
        <v>85</v>
      </c>
      <c r="I169" t="s">
        <v>169</v>
      </c>
      <c r="J169" t="s">
        <v>173</v>
      </c>
      <c r="K169" t="s">
        <v>89</v>
      </c>
      <c r="N169" t="s">
        <v>88</v>
      </c>
      <c r="O169" t="s">
        <v>89</v>
      </c>
      <c r="P169" t="s">
        <v>89</v>
      </c>
      <c r="Q169" t="s">
        <v>89</v>
      </c>
      <c r="R169" s="19" t="s">
        <v>88</v>
      </c>
      <c r="S169" s="17">
        <v>3</v>
      </c>
      <c r="U169" s="17">
        <v>3</v>
      </c>
      <c r="W169" s="17">
        <v>2</v>
      </c>
      <c r="Z169" s="19">
        <v>1</v>
      </c>
      <c r="AB169" s="19">
        <v>1</v>
      </c>
      <c r="AD169" s="19">
        <v>3</v>
      </c>
      <c r="AE169" s="19">
        <v>1</v>
      </c>
      <c r="AG169" s="16">
        <v>1</v>
      </c>
      <c r="AH169" t="s">
        <v>334</v>
      </c>
      <c r="AI169">
        <v>14</v>
      </c>
      <c r="AJ169" t="s">
        <v>205</v>
      </c>
      <c r="AK169" t="s">
        <v>349</v>
      </c>
      <c r="AL169" t="s">
        <v>353</v>
      </c>
      <c r="AM169" t="s">
        <v>19</v>
      </c>
      <c r="AN169" t="s">
        <v>47</v>
      </c>
    </row>
    <row r="170" spans="1:40">
      <c r="A170" t="s">
        <v>375</v>
      </c>
      <c r="B170" t="s">
        <v>47</v>
      </c>
      <c r="C170" t="s">
        <v>363</v>
      </c>
      <c r="D170" t="s">
        <v>59</v>
      </c>
      <c r="E170" t="s">
        <v>59</v>
      </c>
      <c r="F170" t="s">
        <v>166</v>
      </c>
      <c r="G170" t="s">
        <v>166</v>
      </c>
      <c r="H170" t="s">
        <v>85</v>
      </c>
      <c r="I170" t="s">
        <v>167</v>
      </c>
      <c r="J170" t="s">
        <v>171</v>
      </c>
      <c r="K170" t="s">
        <v>89</v>
      </c>
      <c r="N170" t="s">
        <v>88</v>
      </c>
      <c r="O170" t="s">
        <v>89</v>
      </c>
      <c r="P170" t="s">
        <v>89</v>
      </c>
      <c r="Q170" t="s">
        <v>89</v>
      </c>
      <c r="R170" s="19" t="s">
        <v>88</v>
      </c>
      <c r="S170" s="17">
        <v>1</v>
      </c>
      <c r="T170" s="17">
        <v>1</v>
      </c>
      <c r="U170" s="17">
        <v>6</v>
      </c>
      <c r="X170" s="17">
        <v>1</v>
      </c>
      <c r="Z170" s="19">
        <v>1</v>
      </c>
      <c r="AB170" s="19">
        <v>2</v>
      </c>
      <c r="AG170" s="16">
        <v>0.166667</v>
      </c>
      <c r="AH170" t="s">
        <v>334</v>
      </c>
      <c r="AI170">
        <v>14</v>
      </c>
      <c r="AJ170" t="s">
        <v>205</v>
      </c>
      <c r="AK170" t="s">
        <v>349</v>
      </c>
      <c r="AL170" t="s">
        <v>353</v>
      </c>
      <c r="AM170" t="s">
        <v>19</v>
      </c>
      <c r="AN170" t="s">
        <v>47</v>
      </c>
    </row>
    <row r="171" spans="1:40">
      <c r="A171" t="s">
        <v>375</v>
      </c>
      <c r="B171" t="s">
        <v>47</v>
      </c>
      <c r="C171" t="s">
        <v>363</v>
      </c>
      <c r="D171" t="s">
        <v>110</v>
      </c>
      <c r="E171" t="s">
        <v>110</v>
      </c>
      <c r="F171" t="s">
        <v>180</v>
      </c>
      <c r="G171" t="s">
        <v>180</v>
      </c>
      <c r="H171" t="s">
        <v>85</v>
      </c>
      <c r="I171" t="s">
        <v>181</v>
      </c>
      <c r="J171" t="s">
        <v>180</v>
      </c>
      <c r="K171" t="s">
        <v>89</v>
      </c>
      <c r="N171" t="s">
        <v>88</v>
      </c>
      <c r="O171" t="s">
        <v>89</v>
      </c>
      <c r="P171" t="s">
        <v>88</v>
      </c>
      <c r="Q171" t="s">
        <v>89</v>
      </c>
      <c r="R171" s="19" t="s">
        <v>88</v>
      </c>
      <c r="AF171" s="16">
        <v>0</v>
      </c>
      <c r="AH171" t="s">
        <v>334</v>
      </c>
      <c r="AI171">
        <v>14</v>
      </c>
      <c r="AJ171" t="s">
        <v>205</v>
      </c>
      <c r="AK171" t="s">
        <v>349</v>
      </c>
      <c r="AL171" t="s">
        <v>353</v>
      </c>
      <c r="AM171" t="s">
        <v>19</v>
      </c>
      <c r="AN171" t="s">
        <v>47</v>
      </c>
    </row>
    <row r="172" spans="1:40">
      <c r="A172" t="s">
        <v>375</v>
      </c>
      <c r="B172" t="s">
        <v>47</v>
      </c>
      <c r="C172" t="s">
        <v>363</v>
      </c>
      <c r="D172" t="s">
        <v>111</v>
      </c>
      <c r="E172" t="s">
        <v>111</v>
      </c>
      <c r="F172" t="s">
        <v>180</v>
      </c>
      <c r="G172" t="s">
        <v>180</v>
      </c>
      <c r="H172" t="s">
        <v>86</v>
      </c>
      <c r="I172" t="s">
        <v>181</v>
      </c>
      <c r="J172" t="s">
        <v>180</v>
      </c>
      <c r="K172" t="s">
        <v>89</v>
      </c>
      <c r="N172" t="s">
        <v>88</v>
      </c>
      <c r="O172" t="s">
        <v>89</v>
      </c>
      <c r="P172" t="s">
        <v>89</v>
      </c>
      <c r="Q172" t="s">
        <v>88</v>
      </c>
      <c r="R172" s="19" t="s">
        <v>88</v>
      </c>
      <c r="T172" s="17">
        <v>2</v>
      </c>
      <c r="Y172" s="17">
        <v>10</v>
      </c>
      <c r="AC172" s="19">
        <v>11</v>
      </c>
      <c r="AF172" s="16">
        <v>0.47619</v>
      </c>
      <c r="AH172" t="s">
        <v>334</v>
      </c>
      <c r="AI172">
        <v>14</v>
      </c>
      <c r="AJ172" t="s">
        <v>205</v>
      </c>
      <c r="AK172" t="s">
        <v>349</v>
      </c>
      <c r="AL172" t="s">
        <v>353</v>
      </c>
      <c r="AM172" t="s">
        <v>19</v>
      </c>
      <c r="AN172" t="s">
        <v>47</v>
      </c>
    </row>
    <row r="173" spans="1:40">
      <c r="A173" t="s">
        <v>376</v>
      </c>
      <c r="B173" t="s">
        <v>44</v>
      </c>
      <c r="C173" t="s">
        <v>363</v>
      </c>
      <c r="D173" t="s">
        <v>69</v>
      </c>
      <c r="E173" t="s">
        <v>69</v>
      </c>
      <c r="F173" t="s">
        <v>166</v>
      </c>
      <c r="G173" t="s">
        <v>166</v>
      </c>
      <c r="H173" t="s">
        <v>85</v>
      </c>
      <c r="I173" t="s">
        <v>168</v>
      </c>
      <c r="J173" t="s">
        <v>172</v>
      </c>
      <c r="K173" t="s">
        <v>89</v>
      </c>
      <c r="N173" t="s">
        <v>88</v>
      </c>
      <c r="O173" t="s">
        <v>89</v>
      </c>
      <c r="P173" t="s">
        <v>89</v>
      </c>
      <c r="Q173" t="s">
        <v>89</v>
      </c>
      <c r="R173" s="19" t="s">
        <v>88</v>
      </c>
      <c r="U173" s="17">
        <v>1</v>
      </c>
      <c r="Z173" s="19">
        <v>3</v>
      </c>
      <c r="AE173" s="19">
        <v>1</v>
      </c>
      <c r="AG173" s="16">
        <v>0</v>
      </c>
      <c r="AH173" t="s">
        <v>335</v>
      </c>
      <c r="AI173">
        <v>15</v>
      </c>
      <c r="AJ173" t="s">
        <v>207</v>
      </c>
      <c r="AK173" t="s">
        <v>344</v>
      </c>
      <c r="AL173" t="s">
        <v>353</v>
      </c>
      <c r="AM173" t="s">
        <v>18</v>
      </c>
      <c r="AN173" t="s">
        <v>44</v>
      </c>
    </row>
    <row r="174" spans="1:40">
      <c r="A174" t="s">
        <v>376</v>
      </c>
      <c r="B174" t="s">
        <v>44</v>
      </c>
      <c r="C174" t="s">
        <v>363</v>
      </c>
      <c r="D174" t="s">
        <v>60</v>
      </c>
      <c r="E174" t="s">
        <v>60</v>
      </c>
      <c r="F174" t="s">
        <v>166</v>
      </c>
      <c r="G174" t="s">
        <v>166</v>
      </c>
      <c r="H174" t="s">
        <v>85</v>
      </c>
      <c r="I174" t="s">
        <v>167</v>
      </c>
      <c r="J174" t="s">
        <v>171</v>
      </c>
      <c r="K174" t="s">
        <v>88</v>
      </c>
      <c r="L174" t="s">
        <v>176</v>
      </c>
      <c r="M174" t="s">
        <v>138</v>
      </c>
      <c r="N174" t="s">
        <v>88</v>
      </c>
      <c r="O174" t="s">
        <v>89</v>
      </c>
      <c r="P174" t="s">
        <v>89</v>
      </c>
      <c r="Q174" t="s">
        <v>89</v>
      </c>
      <c r="R174" s="19" t="s">
        <v>88</v>
      </c>
      <c r="S174" s="17">
        <v>3</v>
      </c>
      <c r="T174" s="17">
        <v>3</v>
      </c>
      <c r="U174" s="17">
        <v>7</v>
      </c>
      <c r="W174" s="17">
        <v>1</v>
      </c>
      <c r="Y174" s="17">
        <v>2</v>
      </c>
      <c r="AG174" s="16">
        <v>0.428571</v>
      </c>
      <c r="AH174" t="s">
        <v>335</v>
      </c>
      <c r="AI174">
        <v>15</v>
      </c>
      <c r="AJ174" t="s">
        <v>207</v>
      </c>
      <c r="AK174" t="s">
        <v>344</v>
      </c>
      <c r="AL174" t="s">
        <v>353</v>
      </c>
      <c r="AM174" t="s">
        <v>18</v>
      </c>
      <c r="AN174" t="s">
        <v>44</v>
      </c>
    </row>
    <row r="175" spans="1:40">
      <c r="A175" t="s">
        <v>376</v>
      </c>
      <c r="B175" t="s">
        <v>44</v>
      </c>
      <c r="C175" t="s">
        <v>363</v>
      </c>
      <c r="D175" t="s">
        <v>61</v>
      </c>
      <c r="E175" t="s">
        <v>61</v>
      </c>
      <c r="F175" t="s">
        <v>166</v>
      </c>
      <c r="G175" t="s">
        <v>166</v>
      </c>
      <c r="H175" t="s">
        <v>85</v>
      </c>
      <c r="I175" t="s">
        <v>169</v>
      </c>
      <c r="J175" t="s">
        <v>173</v>
      </c>
      <c r="K175" t="s">
        <v>88</v>
      </c>
      <c r="L175" t="s">
        <v>177</v>
      </c>
      <c r="M175" t="s">
        <v>138</v>
      </c>
      <c r="N175" t="s">
        <v>88</v>
      </c>
      <c r="O175" t="s">
        <v>89</v>
      </c>
      <c r="P175" t="s">
        <v>89</v>
      </c>
      <c r="Q175" t="s">
        <v>89</v>
      </c>
      <c r="R175" s="19" t="s">
        <v>88</v>
      </c>
      <c r="S175" s="17">
        <v>2</v>
      </c>
      <c r="T175" s="17">
        <v>2</v>
      </c>
      <c r="U175" s="17">
        <v>3</v>
      </c>
      <c r="W175" s="17">
        <v>2</v>
      </c>
      <c r="Z175" s="19">
        <v>2</v>
      </c>
      <c r="AE175" s="19">
        <v>1</v>
      </c>
      <c r="AG175" s="16">
        <v>0.666667</v>
      </c>
      <c r="AH175" t="s">
        <v>335</v>
      </c>
      <c r="AI175">
        <v>15</v>
      </c>
      <c r="AJ175" t="s">
        <v>207</v>
      </c>
      <c r="AK175" t="s">
        <v>344</v>
      </c>
      <c r="AL175" t="s">
        <v>353</v>
      </c>
      <c r="AM175" t="s">
        <v>18</v>
      </c>
      <c r="AN175" t="s">
        <v>44</v>
      </c>
    </row>
    <row r="176" spans="1:40">
      <c r="A176" t="s">
        <v>376</v>
      </c>
      <c r="B176" t="s">
        <v>44</v>
      </c>
      <c r="C176" t="s">
        <v>363</v>
      </c>
      <c r="D176" t="s">
        <v>68</v>
      </c>
      <c r="E176" t="s">
        <v>68</v>
      </c>
      <c r="F176" t="s">
        <v>166</v>
      </c>
      <c r="G176" t="s">
        <v>166</v>
      </c>
      <c r="H176" t="s">
        <v>85</v>
      </c>
      <c r="I176" t="s">
        <v>170</v>
      </c>
      <c r="J176" t="s">
        <v>174</v>
      </c>
      <c r="K176" t="s">
        <v>89</v>
      </c>
      <c r="N176" t="s">
        <v>88</v>
      </c>
      <c r="O176" t="s">
        <v>89</v>
      </c>
      <c r="P176" t="s">
        <v>89</v>
      </c>
      <c r="Q176" t="s">
        <v>89</v>
      </c>
      <c r="R176" s="19" t="s">
        <v>88</v>
      </c>
      <c r="T176" s="17">
        <v>2</v>
      </c>
      <c r="Y176" s="17">
        <v>1</v>
      </c>
      <c r="Z176" s="19">
        <v>1</v>
      </c>
      <c r="AE176" s="19">
        <v>1</v>
      </c>
      <c r="AG176" s="16">
        <v>0</v>
      </c>
      <c r="AH176" t="s">
        <v>335</v>
      </c>
      <c r="AI176">
        <v>15</v>
      </c>
      <c r="AJ176" t="s">
        <v>207</v>
      </c>
      <c r="AK176" t="s">
        <v>344</v>
      </c>
      <c r="AL176" t="s">
        <v>353</v>
      </c>
      <c r="AM176" t="s">
        <v>18</v>
      </c>
      <c r="AN176" t="s">
        <v>44</v>
      </c>
    </row>
    <row r="177" spans="1:40">
      <c r="A177" t="s">
        <v>376</v>
      </c>
      <c r="B177" t="s">
        <v>44</v>
      </c>
      <c r="C177" t="s">
        <v>363</v>
      </c>
      <c r="D177" t="s">
        <v>65</v>
      </c>
      <c r="E177" t="s">
        <v>65</v>
      </c>
      <c r="F177" t="s">
        <v>166</v>
      </c>
      <c r="G177" t="s">
        <v>166</v>
      </c>
      <c r="H177" t="s">
        <v>86</v>
      </c>
      <c r="I177" t="s">
        <v>170</v>
      </c>
      <c r="J177" t="s">
        <v>174</v>
      </c>
      <c r="K177" t="s">
        <v>89</v>
      </c>
      <c r="N177" t="s">
        <v>88</v>
      </c>
      <c r="O177" t="s">
        <v>89</v>
      </c>
      <c r="P177" t="s">
        <v>89</v>
      </c>
      <c r="Q177" t="s">
        <v>89</v>
      </c>
      <c r="R177" s="19" t="s">
        <v>88</v>
      </c>
      <c r="S177" s="17">
        <v>2</v>
      </c>
      <c r="T177" s="17">
        <v>1</v>
      </c>
      <c r="U177" s="17">
        <v>3</v>
      </c>
      <c r="V177" s="17">
        <v>1</v>
      </c>
      <c r="W177" s="17">
        <v>3</v>
      </c>
      <c r="AB177" s="19">
        <v>2</v>
      </c>
      <c r="AD177" s="19">
        <v>1</v>
      </c>
      <c r="AG177" s="16">
        <v>0.666667</v>
      </c>
      <c r="AH177" t="s">
        <v>335</v>
      </c>
      <c r="AI177">
        <v>15</v>
      </c>
      <c r="AJ177" t="s">
        <v>207</v>
      </c>
      <c r="AK177" t="s">
        <v>344</v>
      </c>
      <c r="AL177" t="s">
        <v>353</v>
      </c>
      <c r="AM177" t="s">
        <v>18</v>
      </c>
      <c r="AN177" t="s">
        <v>44</v>
      </c>
    </row>
    <row r="178" spans="1:40">
      <c r="A178" t="s">
        <v>376</v>
      </c>
      <c r="B178" t="s">
        <v>44</v>
      </c>
      <c r="C178" t="s">
        <v>363</v>
      </c>
      <c r="D178" t="s">
        <v>64</v>
      </c>
      <c r="E178" t="s">
        <v>64</v>
      </c>
      <c r="F178" t="s">
        <v>166</v>
      </c>
      <c r="G178" t="s">
        <v>166</v>
      </c>
      <c r="H178" t="s">
        <v>85</v>
      </c>
      <c r="I178" t="s">
        <v>168</v>
      </c>
      <c r="J178" t="s">
        <v>172</v>
      </c>
      <c r="K178" t="s">
        <v>88</v>
      </c>
      <c r="L178" t="s">
        <v>178</v>
      </c>
      <c r="M178" t="s">
        <v>138</v>
      </c>
      <c r="N178" t="s">
        <v>88</v>
      </c>
      <c r="O178" t="s">
        <v>89</v>
      </c>
      <c r="P178" t="s">
        <v>89</v>
      </c>
      <c r="Q178" t="s">
        <v>89</v>
      </c>
      <c r="R178" s="19" t="s">
        <v>88</v>
      </c>
      <c r="S178" s="17">
        <v>1</v>
      </c>
      <c r="T178" s="17">
        <v>2</v>
      </c>
      <c r="U178" s="17">
        <v>1</v>
      </c>
      <c r="V178" s="17">
        <v>3</v>
      </c>
      <c r="W178" s="17">
        <v>1</v>
      </c>
      <c r="X178" s="17">
        <v>1</v>
      </c>
      <c r="Z178" s="19">
        <v>3</v>
      </c>
      <c r="AB178" s="19">
        <v>1</v>
      </c>
      <c r="AE178" s="19">
        <v>1</v>
      </c>
      <c r="AG178" s="16">
        <v>1</v>
      </c>
      <c r="AH178" t="s">
        <v>335</v>
      </c>
      <c r="AI178">
        <v>15</v>
      </c>
      <c r="AJ178" t="s">
        <v>207</v>
      </c>
      <c r="AK178" t="s">
        <v>344</v>
      </c>
      <c r="AL178" t="s">
        <v>353</v>
      </c>
      <c r="AM178" t="s">
        <v>18</v>
      </c>
      <c r="AN178" t="s">
        <v>44</v>
      </c>
    </row>
    <row r="179" spans="1:40">
      <c r="A179" t="s">
        <v>376</v>
      </c>
      <c r="B179" t="s">
        <v>44</v>
      </c>
      <c r="C179" t="s">
        <v>363</v>
      </c>
      <c r="D179" t="s">
        <v>71</v>
      </c>
      <c r="E179" t="s">
        <v>71</v>
      </c>
      <c r="F179" t="s">
        <v>166</v>
      </c>
      <c r="G179" t="s">
        <v>166</v>
      </c>
      <c r="H179" t="s">
        <v>85</v>
      </c>
      <c r="I179" t="s">
        <v>170</v>
      </c>
      <c r="J179" t="s">
        <v>174</v>
      </c>
      <c r="K179" t="s">
        <v>89</v>
      </c>
      <c r="N179" t="s">
        <v>88</v>
      </c>
      <c r="O179" t="s">
        <v>89</v>
      </c>
      <c r="P179" t="s">
        <v>89</v>
      </c>
      <c r="Q179" t="s">
        <v>89</v>
      </c>
      <c r="R179" s="19" t="s">
        <v>88</v>
      </c>
      <c r="S179" s="17">
        <v>1</v>
      </c>
      <c r="T179" s="17">
        <v>1</v>
      </c>
      <c r="U179" s="17">
        <v>2</v>
      </c>
      <c r="V179" s="17">
        <v>1</v>
      </c>
      <c r="W179" s="17">
        <v>1</v>
      </c>
      <c r="AB179" s="19">
        <v>1</v>
      </c>
      <c r="AD179" s="19">
        <v>1</v>
      </c>
      <c r="AG179" s="16">
        <v>0.5</v>
      </c>
      <c r="AH179" t="s">
        <v>335</v>
      </c>
      <c r="AI179">
        <v>15</v>
      </c>
      <c r="AJ179" t="s">
        <v>207</v>
      </c>
      <c r="AK179" t="s">
        <v>344</v>
      </c>
      <c r="AL179" t="s">
        <v>353</v>
      </c>
      <c r="AM179" t="s">
        <v>18</v>
      </c>
      <c r="AN179" t="s">
        <v>44</v>
      </c>
    </row>
    <row r="180" spans="1:40">
      <c r="A180" t="s">
        <v>376</v>
      </c>
      <c r="B180" t="s">
        <v>44</v>
      </c>
      <c r="C180" t="s">
        <v>363</v>
      </c>
      <c r="D180" t="s">
        <v>129</v>
      </c>
      <c r="E180" t="s">
        <v>129</v>
      </c>
      <c r="F180" t="s">
        <v>166</v>
      </c>
      <c r="G180" t="s">
        <v>166</v>
      </c>
      <c r="H180" t="s">
        <v>85</v>
      </c>
      <c r="I180" t="s">
        <v>170</v>
      </c>
      <c r="J180" t="s">
        <v>174</v>
      </c>
      <c r="K180" t="s">
        <v>89</v>
      </c>
      <c r="N180" t="s">
        <v>88</v>
      </c>
      <c r="O180" t="s">
        <v>89</v>
      </c>
      <c r="P180" t="s">
        <v>89</v>
      </c>
      <c r="Q180" t="s">
        <v>89</v>
      </c>
      <c r="R180" s="19" t="s">
        <v>88</v>
      </c>
      <c r="V180" s="17">
        <v>1</v>
      </c>
      <c r="AE180" s="19">
        <v>1</v>
      </c>
      <c r="AG180" s="16">
        <v>0</v>
      </c>
      <c r="AH180" t="s">
        <v>335</v>
      </c>
      <c r="AI180">
        <v>15</v>
      </c>
      <c r="AJ180" t="s">
        <v>207</v>
      </c>
      <c r="AK180" t="s">
        <v>344</v>
      </c>
      <c r="AL180" t="s">
        <v>353</v>
      </c>
      <c r="AM180" t="s">
        <v>18</v>
      </c>
      <c r="AN180" t="s">
        <v>44</v>
      </c>
    </row>
    <row r="181" spans="1:40">
      <c r="A181" t="s">
        <v>376</v>
      </c>
      <c r="B181" t="s">
        <v>44</v>
      </c>
      <c r="C181" t="s">
        <v>363</v>
      </c>
      <c r="D181" t="s">
        <v>66</v>
      </c>
      <c r="E181" t="s">
        <v>66</v>
      </c>
      <c r="F181" t="s">
        <v>166</v>
      </c>
      <c r="G181" t="s">
        <v>166</v>
      </c>
      <c r="H181" t="s">
        <v>85</v>
      </c>
      <c r="I181" t="s">
        <v>167</v>
      </c>
      <c r="J181" t="s">
        <v>171</v>
      </c>
      <c r="K181" t="s">
        <v>89</v>
      </c>
      <c r="N181" t="s">
        <v>88</v>
      </c>
      <c r="O181" t="s">
        <v>89</v>
      </c>
      <c r="P181" t="s">
        <v>89</v>
      </c>
      <c r="Q181" t="s">
        <v>89</v>
      </c>
      <c r="R181" s="19" t="s">
        <v>88</v>
      </c>
      <c r="S181" s="17">
        <v>2</v>
      </c>
      <c r="U181" s="17">
        <v>3</v>
      </c>
      <c r="X181" s="17">
        <v>1</v>
      </c>
      <c r="Y181" s="17">
        <v>1</v>
      </c>
      <c r="AG181" s="16">
        <v>0.666667</v>
      </c>
      <c r="AH181" t="s">
        <v>335</v>
      </c>
      <c r="AI181">
        <v>15</v>
      </c>
      <c r="AJ181" t="s">
        <v>207</v>
      </c>
      <c r="AK181" t="s">
        <v>344</v>
      </c>
      <c r="AL181" t="s">
        <v>353</v>
      </c>
      <c r="AM181" t="s">
        <v>18</v>
      </c>
      <c r="AN181" t="s">
        <v>44</v>
      </c>
    </row>
    <row r="182" spans="1:40">
      <c r="A182" t="s">
        <v>376</v>
      </c>
      <c r="B182" t="s">
        <v>44</v>
      </c>
      <c r="C182" t="s">
        <v>363</v>
      </c>
      <c r="D182" t="s">
        <v>70</v>
      </c>
      <c r="E182" t="s">
        <v>70</v>
      </c>
      <c r="F182" t="s">
        <v>166</v>
      </c>
      <c r="G182" t="s">
        <v>166</v>
      </c>
      <c r="H182" t="s">
        <v>85</v>
      </c>
      <c r="I182" t="s">
        <v>170</v>
      </c>
      <c r="J182" t="s">
        <v>174</v>
      </c>
      <c r="K182" t="s">
        <v>89</v>
      </c>
      <c r="N182" t="s">
        <v>88</v>
      </c>
      <c r="O182" t="s">
        <v>89</v>
      </c>
      <c r="P182" t="s">
        <v>89</v>
      </c>
      <c r="Q182" t="s">
        <v>89</v>
      </c>
      <c r="R182" s="19" t="s">
        <v>88</v>
      </c>
      <c r="U182" s="17">
        <v>2</v>
      </c>
      <c r="AE182" s="19">
        <v>1</v>
      </c>
      <c r="AG182" s="16">
        <v>0</v>
      </c>
      <c r="AH182" t="s">
        <v>335</v>
      </c>
      <c r="AI182">
        <v>15</v>
      </c>
      <c r="AJ182" t="s">
        <v>207</v>
      </c>
      <c r="AK182" t="s">
        <v>344</v>
      </c>
      <c r="AL182" t="s">
        <v>353</v>
      </c>
      <c r="AM182" t="s">
        <v>18</v>
      </c>
      <c r="AN182" t="s">
        <v>44</v>
      </c>
    </row>
    <row r="183" spans="1:40">
      <c r="A183" t="s">
        <v>376</v>
      </c>
      <c r="B183" t="s">
        <v>44</v>
      </c>
      <c r="C183" t="s">
        <v>363</v>
      </c>
      <c r="D183" t="s">
        <v>62</v>
      </c>
      <c r="E183" t="s">
        <v>62</v>
      </c>
      <c r="F183" t="s">
        <v>166</v>
      </c>
      <c r="G183" t="s">
        <v>166</v>
      </c>
      <c r="H183" t="s">
        <v>85</v>
      </c>
      <c r="I183" t="s">
        <v>169</v>
      </c>
      <c r="J183" t="s">
        <v>173</v>
      </c>
      <c r="K183" t="s">
        <v>89</v>
      </c>
      <c r="N183" t="s">
        <v>88</v>
      </c>
      <c r="O183" t="s">
        <v>89</v>
      </c>
      <c r="P183" t="s">
        <v>89</v>
      </c>
      <c r="Q183" t="s">
        <v>89</v>
      </c>
      <c r="R183" s="19" t="s">
        <v>88</v>
      </c>
      <c r="S183" s="17">
        <v>2</v>
      </c>
      <c r="U183" s="17">
        <v>3</v>
      </c>
      <c r="W183" s="17">
        <v>1</v>
      </c>
      <c r="X183" s="17">
        <v>1</v>
      </c>
      <c r="Y183" s="17">
        <v>1</v>
      </c>
      <c r="Z183" s="19">
        <v>2</v>
      </c>
      <c r="AD183" s="19">
        <v>2</v>
      </c>
      <c r="AG183" s="16">
        <v>0.666667</v>
      </c>
      <c r="AH183" t="s">
        <v>335</v>
      </c>
      <c r="AI183">
        <v>15</v>
      </c>
      <c r="AJ183" t="s">
        <v>207</v>
      </c>
      <c r="AK183" t="s">
        <v>344</v>
      </c>
      <c r="AL183" t="s">
        <v>353</v>
      </c>
      <c r="AM183" t="s">
        <v>18</v>
      </c>
      <c r="AN183" t="s">
        <v>44</v>
      </c>
    </row>
    <row r="184" spans="1:40">
      <c r="A184" t="s">
        <v>376</v>
      </c>
      <c r="B184" t="s">
        <v>44</v>
      </c>
      <c r="C184" t="s">
        <v>363</v>
      </c>
      <c r="D184" t="s">
        <v>59</v>
      </c>
      <c r="E184" t="s">
        <v>59</v>
      </c>
      <c r="F184" t="s">
        <v>166</v>
      </c>
      <c r="G184" t="s">
        <v>166</v>
      </c>
      <c r="H184" t="s">
        <v>85</v>
      </c>
      <c r="I184" t="s">
        <v>167</v>
      </c>
      <c r="J184" t="s">
        <v>171</v>
      </c>
      <c r="K184" t="s">
        <v>89</v>
      </c>
      <c r="N184" t="s">
        <v>88</v>
      </c>
      <c r="O184" t="s">
        <v>89</v>
      </c>
      <c r="P184" t="s">
        <v>89</v>
      </c>
      <c r="Q184" t="s">
        <v>89</v>
      </c>
      <c r="R184" s="19" t="s">
        <v>88</v>
      </c>
      <c r="S184" s="17">
        <v>3</v>
      </c>
      <c r="U184" s="17">
        <v>4</v>
      </c>
      <c r="V184" s="17">
        <v>2</v>
      </c>
      <c r="W184" s="17">
        <v>1</v>
      </c>
      <c r="Z184" s="19">
        <v>1</v>
      </c>
      <c r="AB184" s="19">
        <v>1</v>
      </c>
      <c r="AD184" s="19">
        <v>1</v>
      </c>
      <c r="AE184" s="19">
        <v>1</v>
      </c>
      <c r="AG184" s="16">
        <v>0.75</v>
      </c>
      <c r="AH184" t="s">
        <v>335</v>
      </c>
      <c r="AI184">
        <v>15</v>
      </c>
      <c r="AJ184" t="s">
        <v>207</v>
      </c>
      <c r="AK184" t="s">
        <v>344</v>
      </c>
      <c r="AL184" t="s">
        <v>353</v>
      </c>
      <c r="AM184" t="s">
        <v>18</v>
      </c>
      <c r="AN184" t="s">
        <v>44</v>
      </c>
    </row>
    <row r="185" spans="1:40">
      <c r="A185" t="s">
        <v>376</v>
      </c>
      <c r="B185" t="s">
        <v>44</v>
      </c>
      <c r="C185" t="s">
        <v>363</v>
      </c>
      <c r="D185" t="s">
        <v>110</v>
      </c>
      <c r="E185" t="s">
        <v>110</v>
      </c>
      <c r="F185" t="s">
        <v>180</v>
      </c>
      <c r="G185" t="s">
        <v>180</v>
      </c>
      <c r="H185" t="s">
        <v>85</v>
      </c>
      <c r="I185" t="s">
        <v>181</v>
      </c>
      <c r="J185" t="s">
        <v>180</v>
      </c>
      <c r="K185" t="s">
        <v>89</v>
      </c>
      <c r="N185" t="s">
        <v>88</v>
      </c>
      <c r="O185" t="s">
        <v>89</v>
      </c>
      <c r="P185" t="s">
        <v>88</v>
      </c>
      <c r="Q185" t="s">
        <v>89</v>
      </c>
      <c r="R185" s="19" t="s">
        <v>88</v>
      </c>
      <c r="AF185" s="16">
        <v>0</v>
      </c>
      <c r="AH185" t="s">
        <v>335</v>
      </c>
      <c r="AI185">
        <v>15</v>
      </c>
      <c r="AJ185" t="s">
        <v>207</v>
      </c>
      <c r="AK185" t="s">
        <v>344</v>
      </c>
      <c r="AL185" t="s">
        <v>353</v>
      </c>
      <c r="AM185" t="s">
        <v>18</v>
      </c>
      <c r="AN185" t="s">
        <v>44</v>
      </c>
    </row>
    <row r="186" spans="1:40">
      <c r="A186" t="s">
        <v>376</v>
      </c>
      <c r="B186" t="s">
        <v>44</v>
      </c>
      <c r="C186" t="s">
        <v>363</v>
      </c>
      <c r="D186" t="s">
        <v>111</v>
      </c>
      <c r="E186" t="s">
        <v>111</v>
      </c>
      <c r="F186" t="s">
        <v>180</v>
      </c>
      <c r="G186" t="s">
        <v>180</v>
      </c>
      <c r="H186" t="s">
        <v>86</v>
      </c>
      <c r="I186" t="s">
        <v>181</v>
      </c>
      <c r="J186" t="s">
        <v>180</v>
      </c>
      <c r="K186" t="s">
        <v>89</v>
      </c>
      <c r="N186" t="s">
        <v>88</v>
      </c>
      <c r="O186" t="s">
        <v>89</v>
      </c>
      <c r="P186" t="s">
        <v>89</v>
      </c>
      <c r="Q186" t="s">
        <v>88</v>
      </c>
      <c r="R186" s="19" t="s">
        <v>88</v>
      </c>
      <c r="T186" s="17">
        <v>2</v>
      </c>
      <c r="Y186" s="17">
        <v>6</v>
      </c>
      <c r="AC186" s="19">
        <v>8</v>
      </c>
      <c r="AF186" s="16">
        <v>0.428571</v>
      </c>
      <c r="AH186" t="s">
        <v>335</v>
      </c>
      <c r="AI186">
        <v>15</v>
      </c>
      <c r="AJ186" t="s">
        <v>207</v>
      </c>
      <c r="AK186" t="s">
        <v>344</v>
      </c>
      <c r="AL186" t="s">
        <v>353</v>
      </c>
      <c r="AM186" t="s">
        <v>18</v>
      </c>
      <c r="AN186" t="s">
        <v>44</v>
      </c>
    </row>
    <row r="187" spans="1:40">
      <c r="A187" t="s">
        <v>377</v>
      </c>
      <c r="B187" t="s">
        <v>45</v>
      </c>
      <c r="C187" t="s">
        <v>363</v>
      </c>
      <c r="D187" t="s">
        <v>63</v>
      </c>
      <c r="E187" t="s">
        <v>63</v>
      </c>
      <c r="F187" t="s">
        <v>166</v>
      </c>
      <c r="G187" t="s">
        <v>166</v>
      </c>
      <c r="H187" t="s">
        <v>85</v>
      </c>
      <c r="I187" t="s">
        <v>167</v>
      </c>
      <c r="J187" t="s">
        <v>171</v>
      </c>
      <c r="K187" t="s">
        <v>88</v>
      </c>
      <c r="L187" t="s">
        <v>175</v>
      </c>
      <c r="M187" t="s">
        <v>179</v>
      </c>
      <c r="N187" t="s">
        <v>88</v>
      </c>
      <c r="O187" t="s">
        <v>89</v>
      </c>
      <c r="P187" t="s">
        <v>89</v>
      </c>
      <c r="Q187" t="s">
        <v>89</v>
      </c>
      <c r="R187" s="19" t="s">
        <v>88</v>
      </c>
      <c r="S187" s="17">
        <v>3</v>
      </c>
      <c r="T187" s="17">
        <v>1</v>
      </c>
      <c r="U187" s="17">
        <v>4</v>
      </c>
      <c r="AB187" s="19">
        <v>1</v>
      </c>
      <c r="AG187" s="16">
        <v>0.75</v>
      </c>
      <c r="AH187" t="s">
        <v>336</v>
      </c>
      <c r="AI187">
        <v>16</v>
      </c>
      <c r="AJ187" t="s">
        <v>208</v>
      </c>
      <c r="AK187" t="s">
        <v>350</v>
      </c>
      <c r="AL187" t="s">
        <v>361</v>
      </c>
      <c r="AM187" t="s">
        <v>19</v>
      </c>
      <c r="AN187" t="s">
        <v>45</v>
      </c>
    </row>
    <row r="188" spans="1:40">
      <c r="A188" t="s">
        <v>377</v>
      </c>
      <c r="B188" t="s">
        <v>45</v>
      </c>
      <c r="C188" t="s">
        <v>363</v>
      </c>
      <c r="D188" t="s">
        <v>69</v>
      </c>
      <c r="E188" t="s">
        <v>69</v>
      </c>
      <c r="F188" t="s">
        <v>166</v>
      </c>
      <c r="G188" t="s">
        <v>166</v>
      </c>
      <c r="H188" t="s">
        <v>85</v>
      </c>
      <c r="I188" t="s">
        <v>168</v>
      </c>
      <c r="J188" t="s">
        <v>172</v>
      </c>
      <c r="K188" t="s">
        <v>89</v>
      </c>
      <c r="N188" t="s">
        <v>88</v>
      </c>
      <c r="O188" t="s">
        <v>89</v>
      </c>
      <c r="P188" t="s">
        <v>89</v>
      </c>
      <c r="Q188" t="s">
        <v>89</v>
      </c>
      <c r="R188" s="19" t="s">
        <v>88</v>
      </c>
      <c r="T188" s="17">
        <v>4</v>
      </c>
      <c r="U188" s="17">
        <v>1</v>
      </c>
      <c r="V188" s="17">
        <v>1</v>
      </c>
      <c r="Z188" s="19">
        <v>1</v>
      </c>
      <c r="AB188" s="19">
        <v>1</v>
      </c>
      <c r="AD188" s="19">
        <v>2</v>
      </c>
      <c r="AG188" s="16">
        <v>0</v>
      </c>
      <c r="AH188" t="s">
        <v>336</v>
      </c>
      <c r="AI188">
        <v>16</v>
      </c>
      <c r="AJ188" t="s">
        <v>208</v>
      </c>
      <c r="AK188" t="s">
        <v>350</v>
      </c>
      <c r="AL188" t="s">
        <v>361</v>
      </c>
      <c r="AM188" t="s">
        <v>19</v>
      </c>
      <c r="AN188" t="s">
        <v>45</v>
      </c>
    </row>
    <row r="189" spans="1:40">
      <c r="A189" t="s">
        <v>377</v>
      </c>
      <c r="B189" t="s">
        <v>45</v>
      </c>
      <c r="C189" t="s">
        <v>363</v>
      </c>
      <c r="D189" t="s">
        <v>60</v>
      </c>
      <c r="E189" t="s">
        <v>60</v>
      </c>
      <c r="F189" t="s">
        <v>166</v>
      </c>
      <c r="G189" t="s">
        <v>166</v>
      </c>
      <c r="H189" t="s">
        <v>85</v>
      </c>
      <c r="I189" t="s">
        <v>167</v>
      </c>
      <c r="J189" t="s">
        <v>171</v>
      </c>
      <c r="K189" t="s">
        <v>88</v>
      </c>
      <c r="L189" t="s">
        <v>176</v>
      </c>
      <c r="M189" t="s">
        <v>138</v>
      </c>
      <c r="N189" t="s">
        <v>88</v>
      </c>
      <c r="O189" t="s">
        <v>89</v>
      </c>
      <c r="P189" t="s">
        <v>89</v>
      </c>
      <c r="Q189" t="s">
        <v>89</v>
      </c>
      <c r="R189" s="19" t="s">
        <v>88</v>
      </c>
      <c r="S189" s="17">
        <v>4</v>
      </c>
      <c r="U189" s="17">
        <v>7</v>
      </c>
      <c r="V189" s="17">
        <v>3</v>
      </c>
      <c r="W189" s="17">
        <v>4</v>
      </c>
      <c r="AD189" s="19">
        <v>3</v>
      </c>
      <c r="AG189" s="16">
        <v>0.571429</v>
      </c>
      <c r="AH189" t="s">
        <v>336</v>
      </c>
      <c r="AI189">
        <v>16</v>
      </c>
      <c r="AJ189" t="s">
        <v>208</v>
      </c>
      <c r="AK189" t="s">
        <v>350</v>
      </c>
      <c r="AL189" t="s">
        <v>361</v>
      </c>
      <c r="AM189" t="s">
        <v>19</v>
      </c>
      <c r="AN189" t="s">
        <v>45</v>
      </c>
    </row>
    <row r="190" spans="1:40">
      <c r="A190" t="s">
        <v>377</v>
      </c>
      <c r="B190" t="s">
        <v>45</v>
      </c>
      <c r="C190" t="s">
        <v>363</v>
      </c>
      <c r="D190" t="s">
        <v>68</v>
      </c>
      <c r="E190" t="s">
        <v>68</v>
      </c>
      <c r="F190" t="s">
        <v>166</v>
      </c>
      <c r="G190" t="s">
        <v>166</v>
      </c>
      <c r="H190" t="s">
        <v>85</v>
      </c>
      <c r="I190" t="s">
        <v>170</v>
      </c>
      <c r="J190" t="s">
        <v>174</v>
      </c>
      <c r="K190" t="s">
        <v>89</v>
      </c>
      <c r="N190" t="s">
        <v>88</v>
      </c>
      <c r="O190" t="s">
        <v>89</v>
      </c>
      <c r="P190" t="s">
        <v>89</v>
      </c>
      <c r="Q190" t="s">
        <v>89</v>
      </c>
      <c r="R190" s="19" t="s">
        <v>88</v>
      </c>
      <c r="T190" s="17">
        <v>1</v>
      </c>
      <c r="W190" s="17">
        <v>1</v>
      </c>
      <c r="Z190" s="19">
        <v>2</v>
      </c>
      <c r="AE190" s="19">
        <v>1</v>
      </c>
      <c r="AG190" s="16">
        <v>0</v>
      </c>
      <c r="AH190" t="s">
        <v>336</v>
      </c>
      <c r="AI190">
        <v>16</v>
      </c>
      <c r="AJ190" t="s">
        <v>208</v>
      </c>
      <c r="AK190" t="s">
        <v>350</v>
      </c>
      <c r="AL190" t="s">
        <v>361</v>
      </c>
      <c r="AM190" t="s">
        <v>19</v>
      </c>
      <c r="AN190" t="s">
        <v>45</v>
      </c>
    </row>
    <row r="191" spans="1:40">
      <c r="A191" t="s">
        <v>377</v>
      </c>
      <c r="B191" t="s">
        <v>45</v>
      </c>
      <c r="C191" t="s">
        <v>363</v>
      </c>
      <c r="D191" t="s">
        <v>65</v>
      </c>
      <c r="E191" t="s">
        <v>65</v>
      </c>
      <c r="F191" t="s">
        <v>166</v>
      </c>
      <c r="G191" t="s">
        <v>166</v>
      </c>
      <c r="H191" t="s">
        <v>86</v>
      </c>
      <c r="I191" t="s">
        <v>170</v>
      </c>
      <c r="J191" t="s">
        <v>174</v>
      </c>
      <c r="K191" t="s">
        <v>89</v>
      </c>
      <c r="N191" t="s">
        <v>88</v>
      </c>
      <c r="O191" t="s">
        <v>89</v>
      </c>
      <c r="P191" t="s">
        <v>89</v>
      </c>
      <c r="Q191" t="s">
        <v>89</v>
      </c>
      <c r="R191" s="19" t="s">
        <v>88</v>
      </c>
      <c r="U191" s="17">
        <v>2</v>
      </c>
      <c r="V191" s="17">
        <v>1</v>
      </c>
      <c r="W191" s="17">
        <v>1</v>
      </c>
      <c r="Y191" s="17">
        <v>1</v>
      </c>
      <c r="Z191" s="19">
        <v>2</v>
      </c>
      <c r="AB191" s="19">
        <v>1</v>
      </c>
      <c r="AG191" s="16">
        <v>0</v>
      </c>
      <c r="AH191" t="s">
        <v>336</v>
      </c>
      <c r="AI191">
        <v>16</v>
      </c>
      <c r="AJ191" t="s">
        <v>208</v>
      </c>
      <c r="AK191" t="s">
        <v>350</v>
      </c>
      <c r="AL191" t="s">
        <v>361</v>
      </c>
      <c r="AM191" t="s">
        <v>19</v>
      </c>
      <c r="AN191" t="s">
        <v>45</v>
      </c>
    </row>
    <row r="192" spans="1:40">
      <c r="A192" t="s">
        <v>377</v>
      </c>
      <c r="B192" t="s">
        <v>45</v>
      </c>
      <c r="C192" t="s">
        <v>363</v>
      </c>
      <c r="D192" t="s">
        <v>64</v>
      </c>
      <c r="E192" t="s">
        <v>64</v>
      </c>
      <c r="F192" t="s">
        <v>166</v>
      </c>
      <c r="G192" t="s">
        <v>166</v>
      </c>
      <c r="H192" t="s">
        <v>85</v>
      </c>
      <c r="I192" t="s">
        <v>168</v>
      </c>
      <c r="J192" t="s">
        <v>172</v>
      </c>
      <c r="K192" t="s">
        <v>88</v>
      </c>
      <c r="L192" t="s">
        <v>178</v>
      </c>
      <c r="M192" t="s">
        <v>138</v>
      </c>
      <c r="N192" t="s">
        <v>88</v>
      </c>
      <c r="O192" t="s">
        <v>89</v>
      </c>
      <c r="P192" t="s">
        <v>89</v>
      </c>
      <c r="Q192" t="s">
        <v>89</v>
      </c>
      <c r="R192" s="19" t="s">
        <v>88</v>
      </c>
      <c r="U192" s="17">
        <v>2</v>
      </c>
      <c r="V192" s="17">
        <v>1</v>
      </c>
      <c r="W192" s="17">
        <v>1</v>
      </c>
      <c r="Z192" s="19">
        <v>3</v>
      </c>
      <c r="AB192" s="19">
        <v>1</v>
      </c>
      <c r="AG192" s="16">
        <v>0</v>
      </c>
      <c r="AH192" t="s">
        <v>336</v>
      </c>
      <c r="AI192">
        <v>16</v>
      </c>
      <c r="AJ192" t="s">
        <v>208</v>
      </c>
      <c r="AK192" t="s">
        <v>350</v>
      </c>
      <c r="AL192" t="s">
        <v>361</v>
      </c>
      <c r="AM192" t="s">
        <v>19</v>
      </c>
      <c r="AN192" t="s">
        <v>45</v>
      </c>
    </row>
    <row r="193" spans="1:40">
      <c r="A193" t="s">
        <v>377</v>
      </c>
      <c r="B193" t="s">
        <v>45</v>
      </c>
      <c r="C193" t="s">
        <v>363</v>
      </c>
      <c r="D193" t="s">
        <v>71</v>
      </c>
      <c r="E193" t="s">
        <v>71</v>
      </c>
      <c r="F193" t="s">
        <v>166</v>
      </c>
      <c r="G193" t="s">
        <v>166</v>
      </c>
      <c r="H193" t="s">
        <v>85</v>
      </c>
      <c r="I193" t="s">
        <v>170</v>
      </c>
      <c r="J193" t="s">
        <v>174</v>
      </c>
      <c r="K193" t="s">
        <v>89</v>
      </c>
      <c r="N193" t="s">
        <v>88</v>
      </c>
      <c r="O193" t="s">
        <v>89</v>
      </c>
      <c r="P193" t="s">
        <v>89</v>
      </c>
      <c r="Q193" t="s">
        <v>89</v>
      </c>
      <c r="R193" s="19" t="s">
        <v>88</v>
      </c>
      <c r="S193" s="17">
        <v>1</v>
      </c>
      <c r="T193" s="17">
        <v>1</v>
      </c>
      <c r="U193" s="17">
        <v>1</v>
      </c>
      <c r="V193" s="17">
        <v>1</v>
      </c>
      <c r="AG193" s="16">
        <v>1</v>
      </c>
      <c r="AH193" t="s">
        <v>336</v>
      </c>
      <c r="AI193">
        <v>16</v>
      </c>
      <c r="AJ193" t="s">
        <v>208</v>
      </c>
      <c r="AK193" t="s">
        <v>350</v>
      </c>
      <c r="AL193" t="s">
        <v>361</v>
      </c>
      <c r="AM193" t="s">
        <v>19</v>
      </c>
      <c r="AN193" t="s">
        <v>45</v>
      </c>
    </row>
    <row r="194" spans="1:40">
      <c r="A194" t="s">
        <v>377</v>
      </c>
      <c r="B194" t="s">
        <v>45</v>
      </c>
      <c r="C194" t="s">
        <v>363</v>
      </c>
      <c r="D194" t="s">
        <v>129</v>
      </c>
      <c r="E194" t="s">
        <v>129</v>
      </c>
      <c r="F194" t="s">
        <v>166</v>
      </c>
      <c r="G194" t="s">
        <v>166</v>
      </c>
      <c r="H194" t="s">
        <v>85</v>
      </c>
      <c r="I194" t="s">
        <v>170</v>
      </c>
      <c r="J194" t="s">
        <v>174</v>
      </c>
      <c r="K194" t="s">
        <v>89</v>
      </c>
      <c r="N194" t="s">
        <v>88</v>
      </c>
      <c r="O194" t="s">
        <v>89</v>
      </c>
      <c r="P194" t="s">
        <v>88</v>
      </c>
      <c r="Q194" t="s">
        <v>89</v>
      </c>
      <c r="R194" s="19" t="s">
        <v>88</v>
      </c>
      <c r="AG194" s="16">
        <v>0</v>
      </c>
      <c r="AH194" t="s">
        <v>336</v>
      </c>
      <c r="AI194">
        <v>16</v>
      </c>
      <c r="AJ194" t="s">
        <v>208</v>
      </c>
      <c r="AK194" t="s">
        <v>350</v>
      </c>
      <c r="AL194" t="s">
        <v>361</v>
      </c>
      <c r="AM194" t="s">
        <v>19</v>
      </c>
      <c r="AN194" t="s">
        <v>45</v>
      </c>
    </row>
    <row r="195" spans="1:40">
      <c r="A195" t="s">
        <v>377</v>
      </c>
      <c r="B195" t="s">
        <v>45</v>
      </c>
      <c r="C195" t="s">
        <v>363</v>
      </c>
      <c r="D195" t="s">
        <v>66</v>
      </c>
      <c r="E195" t="s">
        <v>66</v>
      </c>
      <c r="F195" t="s">
        <v>166</v>
      </c>
      <c r="G195" t="s">
        <v>166</v>
      </c>
      <c r="H195" t="s">
        <v>85</v>
      </c>
      <c r="I195" t="s">
        <v>167</v>
      </c>
      <c r="J195" t="s">
        <v>171</v>
      </c>
      <c r="K195" t="s">
        <v>89</v>
      </c>
      <c r="N195" t="s">
        <v>88</v>
      </c>
      <c r="O195" t="s">
        <v>89</v>
      </c>
      <c r="P195" t="s">
        <v>89</v>
      </c>
      <c r="Q195" t="s">
        <v>89</v>
      </c>
      <c r="R195" s="19" t="s">
        <v>88</v>
      </c>
      <c r="S195" s="17">
        <v>1</v>
      </c>
      <c r="U195" s="17">
        <v>2</v>
      </c>
      <c r="W195" s="17">
        <v>2</v>
      </c>
      <c r="AG195" s="16">
        <v>0.5</v>
      </c>
      <c r="AH195" t="s">
        <v>336</v>
      </c>
      <c r="AI195">
        <v>16</v>
      </c>
      <c r="AJ195" t="s">
        <v>208</v>
      </c>
      <c r="AK195" t="s">
        <v>350</v>
      </c>
      <c r="AL195" t="s">
        <v>361</v>
      </c>
      <c r="AM195" t="s">
        <v>19</v>
      </c>
      <c r="AN195" t="s">
        <v>45</v>
      </c>
    </row>
    <row r="196" spans="1:40">
      <c r="A196" t="s">
        <v>377</v>
      </c>
      <c r="B196" t="s">
        <v>45</v>
      </c>
      <c r="C196" t="s">
        <v>363</v>
      </c>
      <c r="D196" t="s">
        <v>70</v>
      </c>
      <c r="E196" t="s">
        <v>70</v>
      </c>
      <c r="F196" t="s">
        <v>166</v>
      </c>
      <c r="G196" t="s">
        <v>166</v>
      </c>
      <c r="H196" t="s">
        <v>85</v>
      </c>
      <c r="I196" t="s">
        <v>170</v>
      </c>
      <c r="J196" t="s">
        <v>174</v>
      </c>
      <c r="K196" t="s">
        <v>89</v>
      </c>
      <c r="N196" t="s">
        <v>88</v>
      </c>
      <c r="O196" t="s">
        <v>89</v>
      </c>
      <c r="P196" t="s">
        <v>89</v>
      </c>
      <c r="Q196" t="s">
        <v>89</v>
      </c>
      <c r="R196" s="19" t="s">
        <v>88</v>
      </c>
      <c r="T196" s="17">
        <v>1</v>
      </c>
      <c r="U196" s="17">
        <v>2</v>
      </c>
      <c r="AG196" s="16">
        <v>0</v>
      </c>
      <c r="AH196" t="s">
        <v>336</v>
      </c>
      <c r="AI196">
        <v>16</v>
      </c>
      <c r="AJ196" t="s">
        <v>208</v>
      </c>
      <c r="AK196" t="s">
        <v>350</v>
      </c>
      <c r="AL196" t="s">
        <v>361</v>
      </c>
      <c r="AM196" t="s">
        <v>19</v>
      </c>
      <c r="AN196" t="s">
        <v>45</v>
      </c>
    </row>
    <row r="197" spans="1:40">
      <c r="A197" t="s">
        <v>377</v>
      </c>
      <c r="B197" t="s">
        <v>45</v>
      </c>
      <c r="C197" t="s">
        <v>363</v>
      </c>
      <c r="D197" t="s">
        <v>62</v>
      </c>
      <c r="E197" t="s">
        <v>62</v>
      </c>
      <c r="F197" t="s">
        <v>166</v>
      </c>
      <c r="G197" t="s">
        <v>166</v>
      </c>
      <c r="H197" t="s">
        <v>85</v>
      </c>
      <c r="I197" t="s">
        <v>169</v>
      </c>
      <c r="J197" t="s">
        <v>173</v>
      </c>
      <c r="K197" t="s">
        <v>89</v>
      </c>
      <c r="N197" t="s">
        <v>88</v>
      </c>
      <c r="O197" t="s">
        <v>89</v>
      </c>
      <c r="P197" t="s">
        <v>89</v>
      </c>
      <c r="Q197" t="s">
        <v>89</v>
      </c>
      <c r="R197" s="19" t="s">
        <v>88</v>
      </c>
      <c r="S197" s="17">
        <v>1</v>
      </c>
      <c r="U197" s="17">
        <v>3</v>
      </c>
      <c r="W197" s="17">
        <v>3</v>
      </c>
      <c r="Y197" s="17">
        <v>4</v>
      </c>
      <c r="Z197" s="19">
        <v>1</v>
      </c>
      <c r="AD197" s="19">
        <v>1</v>
      </c>
      <c r="AG197" s="16">
        <v>0.333333</v>
      </c>
      <c r="AH197" t="s">
        <v>336</v>
      </c>
      <c r="AI197">
        <v>16</v>
      </c>
      <c r="AJ197" t="s">
        <v>208</v>
      </c>
      <c r="AK197" t="s">
        <v>350</v>
      </c>
      <c r="AL197" t="s">
        <v>361</v>
      </c>
      <c r="AM197" t="s">
        <v>19</v>
      </c>
      <c r="AN197" t="s">
        <v>45</v>
      </c>
    </row>
    <row r="198" spans="1:40">
      <c r="A198" t="s">
        <v>377</v>
      </c>
      <c r="B198" t="s">
        <v>45</v>
      </c>
      <c r="C198" t="s">
        <v>363</v>
      </c>
      <c r="D198" t="s">
        <v>59</v>
      </c>
      <c r="E198" t="s">
        <v>59</v>
      </c>
      <c r="F198" t="s">
        <v>166</v>
      </c>
      <c r="G198" t="s">
        <v>166</v>
      </c>
      <c r="H198" t="s">
        <v>85</v>
      </c>
      <c r="I198" t="s">
        <v>167</v>
      </c>
      <c r="J198" t="s">
        <v>171</v>
      </c>
      <c r="K198" t="s">
        <v>89</v>
      </c>
      <c r="N198" t="s">
        <v>88</v>
      </c>
      <c r="O198" t="s">
        <v>89</v>
      </c>
      <c r="P198" t="s">
        <v>89</v>
      </c>
      <c r="Q198" t="s">
        <v>89</v>
      </c>
      <c r="R198" s="19" t="s">
        <v>88</v>
      </c>
      <c r="S198" s="17">
        <v>3</v>
      </c>
      <c r="U198" s="17">
        <v>7</v>
      </c>
      <c r="V198" s="17">
        <v>1</v>
      </c>
      <c r="Y198" s="17">
        <v>2</v>
      </c>
      <c r="Z198" s="19">
        <v>2</v>
      </c>
      <c r="AB198" s="19">
        <v>1</v>
      </c>
      <c r="AE198" s="19">
        <v>1</v>
      </c>
      <c r="AG198" s="16">
        <v>0.428571</v>
      </c>
      <c r="AH198" t="s">
        <v>336</v>
      </c>
      <c r="AI198">
        <v>16</v>
      </c>
      <c r="AJ198" t="s">
        <v>208</v>
      </c>
      <c r="AK198" t="s">
        <v>350</v>
      </c>
      <c r="AL198" t="s">
        <v>361</v>
      </c>
      <c r="AM198" t="s">
        <v>19</v>
      </c>
      <c r="AN198" t="s">
        <v>45</v>
      </c>
    </row>
    <row r="199" spans="1:40">
      <c r="A199" t="s">
        <v>377</v>
      </c>
      <c r="B199" t="s">
        <v>45</v>
      </c>
      <c r="C199" t="s">
        <v>363</v>
      </c>
      <c r="D199" t="s">
        <v>110</v>
      </c>
      <c r="E199" t="s">
        <v>110</v>
      </c>
      <c r="F199" t="s">
        <v>180</v>
      </c>
      <c r="G199" t="s">
        <v>180</v>
      </c>
      <c r="H199" t="s">
        <v>85</v>
      </c>
      <c r="I199" t="s">
        <v>181</v>
      </c>
      <c r="J199" t="s">
        <v>180</v>
      </c>
      <c r="K199" t="s">
        <v>89</v>
      </c>
      <c r="N199" t="s">
        <v>88</v>
      </c>
      <c r="O199" t="s">
        <v>89</v>
      </c>
      <c r="P199" t="s">
        <v>88</v>
      </c>
      <c r="Q199" t="s">
        <v>89</v>
      </c>
      <c r="R199" s="19" t="s">
        <v>88</v>
      </c>
      <c r="AF199" s="16">
        <v>0</v>
      </c>
      <c r="AH199" t="s">
        <v>336</v>
      </c>
      <c r="AI199">
        <v>16</v>
      </c>
      <c r="AJ199" t="s">
        <v>208</v>
      </c>
      <c r="AK199" t="s">
        <v>350</v>
      </c>
      <c r="AL199" t="s">
        <v>361</v>
      </c>
      <c r="AM199" t="s">
        <v>19</v>
      </c>
      <c r="AN199" t="s">
        <v>45</v>
      </c>
    </row>
    <row r="200" spans="1:40">
      <c r="A200" t="s">
        <v>377</v>
      </c>
      <c r="B200" t="s">
        <v>45</v>
      </c>
      <c r="C200" t="s">
        <v>363</v>
      </c>
      <c r="D200" t="s">
        <v>111</v>
      </c>
      <c r="E200" t="s">
        <v>111</v>
      </c>
      <c r="F200" t="s">
        <v>180</v>
      </c>
      <c r="G200" t="s">
        <v>180</v>
      </c>
      <c r="H200" t="s">
        <v>86</v>
      </c>
      <c r="I200" t="s">
        <v>181</v>
      </c>
      <c r="J200" t="s">
        <v>180</v>
      </c>
      <c r="K200" t="s">
        <v>89</v>
      </c>
      <c r="N200" t="s">
        <v>88</v>
      </c>
      <c r="O200" t="s">
        <v>89</v>
      </c>
      <c r="P200" t="s">
        <v>89</v>
      </c>
      <c r="Q200" t="s">
        <v>88</v>
      </c>
      <c r="R200" s="19" t="s">
        <v>88</v>
      </c>
      <c r="Y200" s="17">
        <v>9</v>
      </c>
      <c r="AC200" s="19">
        <v>12</v>
      </c>
      <c r="AE200" s="19">
        <v>1</v>
      </c>
      <c r="AF200" s="16">
        <v>0.428571</v>
      </c>
      <c r="AH200" t="s">
        <v>336</v>
      </c>
      <c r="AI200">
        <v>16</v>
      </c>
      <c r="AJ200" t="s">
        <v>208</v>
      </c>
      <c r="AK200" t="s">
        <v>350</v>
      </c>
      <c r="AL200" t="s">
        <v>361</v>
      </c>
      <c r="AM200" t="s">
        <v>19</v>
      </c>
      <c r="AN200" t="s">
        <v>45</v>
      </c>
    </row>
    <row r="201" spans="1:40">
      <c r="A201" t="s">
        <v>378</v>
      </c>
      <c r="B201" t="s">
        <v>50</v>
      </c>
      <c r="C201" t="s">
        <v>363</v>
      </c>
      <c r="D201" t="s">
        <v>63</v>
      </c>
      <c r="E201" t="s">
        <v>63</v>
      </c>
      <c r="F201" t="s">
        <v>166</v>
      </c>
      <c r="G201" t="s">
        <v>166</v>
      </c>
      <c r="H201" t="s">
        <v>85</v>
      </c>
      <c r="I201" t="s">
        <v>167</v>
      </c>
      <c r="J201" t="s">
        <v>171</v>
      </c>
      <c r="K201" t="s">
        <v>88</v>
      </c>
      <c r="L201" t="s">
        <v>175</v>
      </c>
      <c r="M201" t="s">
        <v>179</v>
      </c>
      <c r="N201" t="s">
        <v>88</v>
      </c>
      <c r="O201" t="s">
        <v>89</v>
      </c>
      <c r="P201" t="s">
        <v>89</v>
      </c>
      <c r="Q201" t="s">
        <v>89</v>
      </c>
      <c r="R201" s="19" t="s">
        <v>88</v>
      </c>
      <c r="T201" s="17">
        <v>1</v>
      </c>
      <c r="U201" s="17">
        <v>2</v>
      </c>
      <c r="X201" s="17">
        <v>1</v>
      </c>
      <c r="AB201" s="19">
        <v>1</v>
      </c>
      <c r="AE201" s="19">
        <v>2</v>
      </c>
      <c r="AG201" s="16">
        <v>0</v>
      </c>
      <c r="AH201" t="s">
        <v>337</v>
      </c>
      <c r="AI201">
        <v>17</v>
      </c>
      <c r="AJ201" t="s">
        <v>209</v>
      </c>
      <c r="AK201" t="s">
        <v>351</v>
      </c>
      <c r="AL201" t="s">
        <v>353</v>
      </c>
      <c r="AM201" t="s">
        <v>18</v>
      </c>
      <c r="AN201" t="s">
        <v>50</v>
      </c>
    </row>
    <row r="202" spans="1:40">
      <c r="A202" t="s">
        <v>378</v>
      </c>
      <c r="B202" t="s">
        <v>50</v>
      </c>
      <c r="C202" t="s">
        <v>363</v>
      </c>
      <c r="D202" t="s">
        <v>69</v>
      </c>
      <c r="E202" t="s">
        <v>69</v>
      </c>
      <c r="F202" t="s">
        <v>166</v>
      </c>
      <c r="G202" t="s">
        <v>166</v>
      </c>
      <c r="H202" t="s">
        <v>85</v>
      </c>
      <c r="I202" t="s">
        <v>168</v>
      </c>
      <c r="J202" t="s">
        <v>172</v>
      </c>
      <c r="K202" t="s">
        <v>89</v>
      </c>
      <c r="N202" t="s">
        <v>88</v>
      </c>
      <c r="O202" t="s">
        <v>89</v>
      </c>
      <c r="P202" t="s">
        <v>89</v>
      </c>
      <c r="Q202" t="s">
        <v>89</v>
      </c>
      <c r="R202" s="19" t="s">
        <v>88</v>
      </c>
      <c r="T202" s="17">
        <v>3</v>
      </c>
      <c r="U202" s="17">
        <v>2</v>
      </c>
      <c r="AB202" s="19">
        <v>1</v>
      </c>
      <c r="AE202" s="19">
        <v>1</v>
      </c>
      <c r="AG202" s="16">
        <v>0</v>
      </c>
      <c r="AH202" t="s">
        <v>337</v>
      </c>
      <c r="AI202">
        <v>17</v>
      </c>
      <c r="AJ202" t="s">
        <v>209</v>
      </c>
      <c r="AK202" t="s">
        <v>351</v>
      </c>
      <c r="AL202" t="s">
        <v>353</v>
      </c>
      <c r="AM202" t="s">
        <v>18</v>
      </c>
      <c r="AN202" t="s">
        <v>50</v>
      </c>
    </row>
    <row r="203" spans="1:40">
      <c r="A203" t="s">
        <v>378</v>
      </c>
      <c r="B203" t="s">
        <v>50</v>
      </c>
      <c r="C203" t="s">
        <v>363</v>
      </c>
      <c r="D203" t="s">
        <v>60</v>
      </c>
      <c r="E203" t="s">
        <v>60</v>
      </c>
      <c r="F203" t="s">
        <v>166</v>
      </c>
      <c r="G203" t="s">
        <v>166</v>
      </c>
      <c r="H203" t="s">
        <v>85</v>
      </c>
      <c r="I203" t="s">
        <v>167</v>
      </c>
      <c r="J203" t="s">
        <v>171</v>
      </c>
      <c r="K203" t="s">
        <v>88</v>
      </c>
      <c r="L203" t="s">
        <v>176</v>
      </c>
      <c r="M203" t="s">
        <v>138</v>
      </c>
      <c r="N203" t="s">
        <v>88</v>
      </c>
      <c r="O203" t="s">
        <v>89</v>
      </c>
      <c r="P203" t="s">
        <v>89</v>
      </c>
      <c r="Q203" t="s">
        <v>89</v>
      </c>
      <c r="R203" s="19" t="s">
        <v>88</v>
      </c>
      <c r="S203" s="17">
        <v>6</v>
      </c>
      <c r="U203" s="17">
        <v>11</v>
      </c>
      <c r="V203" s="17">
        <v>1</v>
      </c>
      <c r="X203" s="17">
        <v>1</v>
      </c>
      <c r="Y203" s="17">
        <v>1</v>
      </c>
      <c r="AE203" s="19">
        <v>1</v>
      </c>
      <c r="AG203" s="16">
        <v>0.545455</v>
      </c>
      <c r="AH203" t="s">
        <v>337</v>
      </c>
      <c r="AI203">
        <v>17</v>
      </c>
      <c r="AJ203" t="s">
        <v>209</v>
      </c>
      <c r="AK203" t="s">
        <v>351</v>
      </c>
      <c r="AL203" t="s">
        <v>353</v>
      </c>
      <c r="AM203" t="s">
        <v>18</v>
      </c>
      <c r="AN203" t="s">
        <v>50</v>
      </c>
    </row>
    <row r="204" spans="1:40">
      <c r="A204" t="s">
        <v>378</v>
      </c>
      <c r="B204" t="s">
        <v>50</v>
      </c>
      <c r="C204" t="s">
        <v>363</v>
      </c>
      <c r="D204" t="s">
        <v>127</v>
      </c>
      <c r="E204" t="s">
        <v>127</v>
      </c>
      <c r="F204" t="s">
        <v>166</v>
      </c>
      <c r="G204" t="s">
        <v>166</v>
      </c>
      <c r="H204" t="s">
        <v>85</v>
      </c>
      <c r="I204" t="s">
        <v>169</v>
      </c>
      <c r="J204" t="s">
        <v>173</v>
      </c>
      <c r="K204" t="s">
        <v>89</v>
      </c>
      <c r="N204" t="s">
        <v>88</v>
      </c>
      <c r="O204" t="s">
        <v>89</v>
      </c>
      <c r="P204" t="s">
        <v>89</v>
      </c>
      <c r="Q204" t="s">
        <v>89</v>
      </c>
      <c r="R204" s="19" t="s">
        <v>88</v>
      </c>
      <c r="S204" s="17">
        <v>1</v>
      </c>
      <c r="U204" s="17">
        <v>3</v>
      </c>
      <c r="X204" s="17">
        <v>1</v>
      </c>
      <c r="AG204" s="16">
        <v>0.333333</v>
      </c>
      <c r="AH204" t="s">
        <v>337</v>
      </c>
      <c r="AI204">
        <v>17</v>
      </c>
      <c r="AJ204" t="s">
        <v>209</v>
      </c>
      <c r="AK204" t="s">
        <v>351</v>
      </c>
      <c r="AL204" t="s">
        <v>353</v>
      </c>
      <c r="AM204" t="s">
        <v>18</v>
      </c>
      <c r="AN204" t="s">
        <v>50</v>
      </c>
    </row>
    <row r="205" spans="1:40">
      <c r="A205" t="s">
        <v>378</v>
      </c>
      <c r="B205" t="s">
        <v>50</v>
      </c>
      <c r="C205" t="s">
        <v>363</v>
      </c>
      <c r="D205" t="s">
        <v>61</v>
      </c>
      <c r="E205" t="s">
        <v>61</v>
      </c>
      <c r="F205" t="s">
        <v>166</v>
      </c>
      <c r="G205" t="s">
        <v>166</v>
      </c>
      <c r="H205" t="s">
        <v>85</v>
      </c>
      <c r="I205" t="s">
        <v>169</v>
      </c>
      <c r="J205" t="s">
        <v>173</v>
      </c>
      <c r="K205" t="s">
        <v>88</v>
      </c>
      <c r="L205" t="s">
        <v>177</v>
      </c>
      <c r="M205" t="s">
        <v>138</v>
      </c>
      <c r="N205" t="s">
        <v>88</v>
      </c>
      <c r="O205" t="s">
        <v>89</v>
      </c>
      <c r="P205" t="s">
        <v>89</v>
      </c>
      <c r="Q205" t="s">
        <v>89</v>
      </c>
      <c r="R205" s="19" t="s">
        <v>88</v>
      </c>
      <c r="S205" s="17">
        <v>2</v>
      </c>
      <c r="T205" s="17">
        <v>1</v>
      </c>
      <c r="U205" s="17">
        <v>6</v>
      </c>
      <c r="W205" s="17">
        <v>1</v>
      </c>
      <c r="Y205" s="17">
        <v>1</v>
      </c>
      <c r="AD205" s="19">
        <v>1</v>
      </c>
      <c r="AE205" s="19">
        <v>1</v>
      </c>
      <c r="AG205" s="16">
        <v>0.333333</v>
      </c>
      <c r="AH205" t="s">
        <v>337</v>
      </c>
      <c r="AI205">
        <v>17</v>
      </c>
      <c r="AJ205" t="s">
        <v>209</v>
      </c>
      <c r="AK205" t="s">
        <v>351</v>
      </c>
      <c r="AL205" t="s">
        <v>353</v>
      </c>
      <c r="AM205" t="s">
        <v>18</v>
      </c>
      <c r="AN205" t="s">
        <v>50</v>
      </c>
    </row>
    <row r="206" spans="1:40">
      <c r="A206" t="s">
        <v>378</v>
      </c>
      <c r="B206" t="s">
        <v>50</v>
      </c>
      <c r="C206" t="s">
        <v>363</v>
      </c>
      <c r="D206" t="s">
        <v>68</v>
      </c>
      <c r="E206" t="s">
        <v>68</v>
      </c>
      <c r="F206" t="s">
        <v>166</v>
      </c>
      <c r="G206" t="s">
        <v>166</v>
      </c>
      <c r="H206" t="s">
        <v>85</v>
      </c>
      <c r="I206" t="s">
        <v>170</v>
      </c>
      <c r="J206" t="s">
        <v>174</v>
      </c>
      <c r="K206" t="s">
        <v>89</v>
      </c>
      <c r="N206" t="s">
        <v>88</v>
      </c>
      <c r="O206" t="s">
        <v>89</v>
      </c>
      <c r="P206" t="s">
        <v>89</v>
      </c>
      <c r="Q206" t="s">
        <v>89</v>
      </c>
      <c r="R206" s="19" t="s">
        <v>88</v>
      </c>
      <c r="T206" s="17">
        <v>1</v>
      </c>
      <c r="U206" s="17">
        <v>2</v>
      </c>
      <c r="Z206" s="19">
        <v>1</v>
      </c>
      <c r="AA206" s="19">
        <v>1</v>
      </c>
      <c r="AB206" s="19">
        <v>1</v>
      </c>
      <c r="AG206" s="16">
        <v>0</v>
      </c>
      <c r="AH206" t="s">
        <v>337</v>
      </c>
      <c r="AI206">
        <v>17</v>
      </c>
      <c r="AJ206" t="s">
        <v>209</v>
      </c>
      <c r="AK206" t="s">
        <v>351</v>
      </c>
      <c r="AL206" t="s">
        <v>353</v>
      </c>
      <c r="AM206" t="s">
        <v>18</v>
      </c>
      <c r="AN206" t="s">
        <v>50</v>
      </c>
    </row>
    <row r="207" spans="1:40">
      <c r="A207" t="s">
        <v>378</v>
      </c>
      <c r="B207" t="s">
        <v>50</v>
      </c>
      <c r="C207" t="s">
        <v>363</v>
      </c>
      <c r="D207" t="s">
        <v>65</v>
      </c>
      <c r="E207" t="s">
        <v>65</v>
      </c>
      <c r="F207" t="s">
        <v>166</v>
      </c>
      <c r="G207" t="s">
        <v>166</v>
      </c>
      <c r="H207" t="s">
        <v>86</v>
      </c>
      <c r="I207" t="s">
        <v>170</v>
      </c>
      <c r="J207" t="s">
        <v>174</v>
      </c>
      <c r="K207" t="s">
        <v>89</v>
      </c>
      <c r="N207" t="s">
        <v>88</v>
      </c>
      <c r="O207" t="s">
        <v>89</v>
      </c>
      <c r="P207" t="s">
        <v>89</v>
      </c>
      <c r="Q207" t="s">
        <v>89</v>
      </c>
      <c r="R207" s="19" t="s">
        <v>88</v>
      </c>
      <c r="S207" s="17">
        <v>1</v>
      </c>
      <c r="U207" s="17">
        <v>1</v>
      </c>
      <c r="V207" s="17">
        <v>1</v>
      </c>
      <c r="Y207" s="17">
        <v>1</v>
      </c>
      <c r="AD207" s="19">
        <v>1</v>
      </c>
      <c r="AG207" s="16">
        <v>1</v>
      </c>
      <c r="AH207" t="s">
        <v>337</v>
      </c>
      <c r="AI207">
        <v>17</v>
      </c>
      <c r="AJ207" t="s">
        <v>209</v>
      </c>
      <c r="AK207" t="s">
        <v>351</v>
      </c>
      <c r="AL207" t="s">
        <v>353</v>
      </c>
      <c r="AM207" t="s">
        <v>18</v>
      </c>
      <c r="AN207" t="s">
        <v>50</v>
      </c>
    </row>
    <row r="208" spans="1:40">
      <c r="A208" t="s">
        <v>378</v>
      </c>
      <c r="B208" t="s">
        <v>50</v>
      </c>
      <c r="C208" t="s">
        <v>363</v>
      </c>
      <c r="D208" t="s">
        <v>128</v>
      </c>
      <c r="E208" t="s">
        <v>128</v>
      </c>
      <c r="F208" t="s">
        <v>166</v>
      </c>
      <c r="G208" t="s">
        <v>166</v>
      </c>
      <c r="H208" t="s">
        <v>85</v>
      </c>
      <c r="I208" t="s">
        <v>167</v>
      </c>
      <c r="J208" t="s">
        <v>171</v>
      </c>
      <c r="K208" t="s">
        <v>89</v>
      </c>
      <c r="N208" t="s">
        <v>88</v>
      </c>
      <c r="O208" t="s">
        <v>89</v>
      </c>
      <c r="P208" t="s">
        <v>88</v>
      </c>
      <c r="Q208" t="s">
        <v>89</v>
      </c>
      <c r="R208" s="19" t="s">
        <v>88</v>
      </c>
      <c r="AG208" s="16">
        <v>0</v>
      </c>
      <c r="AH208" t="s">
        <v>337</v>
      </c>
      <c r="AI208">
        <v>17</v>
      </c>
      <c r="AJ208" t="s">
        <v>209</v>
      </c>
      <c r="AK208" t="s">
        <v>351</v>
      </c>
      <c r="AL208" t="s">
        <v>353</v>
      </c>
      <c r="AM208" t="s">
        <v>18</v>
      </c>
      <c r="AN208" t="s">
        <v>50</v>
      </c>
    </row>
    <row r="209" spans="1:40">
      <c r="A209" t="s">
        <v>378</v>
      </c>
      <c r="B209" t="s">
        <v>50</v>
      </c>
      <c r="C209" t="s">
        <v>363</v>
      </c>
      <c r="D209" t="s">
        <v>71</v>
      </c>
      <c r="E209" t="s">
        <v>71</v>
      </c>
      <c r="F209" t="s">
        <v>166</v>
      </c>
      <c r="G209" t="s">
        <v>166</v>
      </c>
      <c r="H209" t="s">
        <v>85</v>
      </c>
      <c r="I209" t="s">
        <v>170</v>
      </c>
      <c r="J209" t="s">
        <v>174</v>
      </c>
      <c r="K209" t="s">
        <v>89</v>
      </c>
      <c r="N209" t="s">
        <v>88</v>
      </c>
      <c r="O209" t="s">
        <v>89</v>
      </c>
      <c r="P209" t="s">
        <v>89</v>
      </c>
      <c r="Q209" t="s">
        <v>89</v>
      </c>
      <c r="R209" s="19" t="s">
        <v>88</v>
      </c>
      <c r="T209" s="17">
        <v>1</v>
      </c>
      <c r="U209" s="17">
        <v>2</v>
      </c>
      <c r="V209" s="17">
        <v>1</v>
      </c>
      <c r="W209" s="17">
        <v>1</v>
      </c>
      <c r="Y209" s="17">
        <v>1</v>
      </c>
      <c r="Z209" s="19">
        <v>1</v>
      </c>
      <c r="AB209" s="19">
        <v>1</v>
      </c>
      <c r="AG209" s="16">
        <v>0</v>
      </c>
      <c r="AH209" t="s">
        <v>337</v>
      </c>
      <c r="AI209">
        <v>17</v>
      </c>
      <c r="AJ209" t="s">
        <v>209</v>
      </c>
      <c r="AK209" t="s">
        <v>351</v>
      </c>
      <c r="AL209" t="s">
        <v>353</v>
      </c>
      <c r="AM209" t="s">
        <v>18</v>
      </c>
      <c r="AN209" t="s">
        <v>50</v>
      </c>
    </row>
    <row r="210" spans="1:40">
      <c r="A210" t="s">
        <v>378</v>
      </c>
      <c r="B210" t="s">
        <v>50</v>
      </c>
      <c r="C210" t="s">
        <v>363</v>
      </c>
      <c r="D210" t="s">
        <v>130</v>
      </c>
      <c r="E210" t="s">
        <v>130</v>
      </c>
      <c r="F210" t="s">
        <v>166</v>
      </c>
      <c r="G210" t="s">
        <v>166</v>
      </c>
      <c r="H210" t="s">
        <v>85</v>
      </c>
      <c r="I210" t="s">
        <v>168</v>
      </c>
      <c r="J210" t="s">
        <v>172</v>
      </c>
      <c r="K210" t="s">
        <v>89</v>
      </c>
      <c r="N210" t="s">
        <v>88</v>
      </c>
      <c r="O210" t="s">
        <v>89</v>
      </c>
      <c r="P210" t="s">
        <v>89</v>
      </c>
      <c r="Q210" t="s">
        <v>89</v>
      </c>
      <c r="R210" s="19" t="s">
        <v>88</v>
      </c>
      <c r="T210" s="17">
        <v>1</v>
      </c>
      <c r="AD210" s="19">
        <v>1</v>
      </c>
      <c r="AE210" s="19">
        <v>1</v>
      </c>
      <c r="AG210" s="16">
        <v>0</v>
      </c>
      <c r="AH210" t="s">
        <v>337</v>
      </c>
      <c r="AI210">
        <v>17</v>
      </c>
      <c r="AJ210" t="s">
        <v>209</v>
      </c>
      <c r="AK210" t="s">
        <v>351</v>
      </c>
      <c r="AL210" t="s">
        <v>353</v>
      </c>
      <c r="AM210" t="s">
        <v>18</v>
      </c>
      <c r="AN210" t="s">
        <v>50</v>
      </c>
    </row>
    <row r="211" spans="1:40">
      <c r="A211" t="s">
        <v>378</v>
      </c>
      <c r="B211" t="s">
        <v>50</v>
      </c>
      <c r="C211" t="s">
        <v>363</v>
      </c>
      <c r="D211" t="s">
        <v>70</v>
      </c>
      <c r="E211" t="s">
        <v>70</v>
      </c>
      <c r="F211" t="s">
        <v>166</v>
      </c>
      <c r="G211" t="s">
        <v>166</v>
      </c>
      <c r="H211" t="s">
        <v>85</v>
      </c>
      <c r="I211" t="s">
        <v>170</v>
      </c>
      <c r="J211" t="s">
        <v>174</v>
      </c>
      <c r="K211" t="s">
        <v>89</v>
      </c>
      <c r="N211" t="s">
        <v>88</v>
      </c>
      <c r="O211" t="s">
        <v>89</v>
      </c>
      <c r="P211" t="s">
        <v>89</v>
      </c>
      <c r="Q211" t="s">
        <v>89</v>
      </c>
      <c r="R211" s="19" t="s">
        <v>88</v>
      </c>
      <c r="T211" s="17">
        <v>1</v>
      </c>
      <c r="X211" s="17">
        <v>1</v>
      </c>
      <c r="AG211" s="16">
        <v>0</v>
      </c>
      <c r="AH211" t="s">
        <v>337</v>
      </c>
      <c r="AI211">
        <v>17</v>
      </c>
      <c r="AJ211" t="s">
        <v>209</v>
      </c>
      <c r="AK211" t="s">
        <v>351</v>
      </c>
      <c r="AL211" t="s">
        <v>353</v>
      </c>
      <c r="AM211" t="s">
        <v>18</v>
      </c>
      <c r="AN211" t="s">
        <v>50</v>
      </c>
    </row>
    <row r="212" spans="1:40">
      <c r="A212" t="s">
        <v>378</v>
      </c>
      <c r="B212" t="s">
        <v>50</v>
      </c>
      <c r="C212" t="s">
        <v>363</v>
      </c>
      <c r="D212" t="s">
        <v>59</v>
      </c>
      <c r="E212" t="s">
        <v>59</v>
      </c>
      <c r="F212" t="s">
        <v>166</v>
      </c>
      <c r="G212" t="s">
        <v>166</v>
      </c>
      <c r="H212" t="s">
        <v>85</v>
      </c>
      <c r="I212" t="s">
        <v>167</v>
      </c>
      <c r="J212" t="s">
        <v>171</v>
      </c>
      <c r="K212" t="s">
        <v>89</v>
      </c>
      <c r="N212" t="s">
        <v>88</v>
      </c>
      <c r="O212" t="s">
        <v>89</v>
      </c>
      <c r="P212" t="s">
        <v>89</v>
      </c>
      <c r="Q212" t="s">
        <v>89</v>
      </c>
      <c r="R212" s="19" t="s">
        <v>88</v>
      </c>
      <c r="S212" s="17">
        <v>4</v>
      </c>
      <c r="T212" s="17">
        <v>2</v>
      </c>
      <c r="U212" s="17">
        <v>5</v>
      </c>
      <c r="AE212" s="19">
        <v>2</v>
      </c>
      <c r="AG212" s="16">
        <v>0.8</v>
      </c>
      <c r="AH212" t="s">
        <v>337</v>
      </c>
      <c r="AI212">
        <v>17</v>
      </c>
      <c r="AJ212" t="s">
        <v>209</v>
      </c>
      <c r="AK212" t="s">
        <v>351</v>
      </c>
      <c r="AL212" t="s">
        <v>353</v>
      </c>
      <c r="AM212" t="s">
        <v>18</v>
      </c>
      <c r="AN212" t="s">
        <v>50</v>
      </c>
    </row>
    <row r="213" spans="1:40">
      <c r="A213" t="s">
        <v>378</v>
      </c>
      <c r="B213" t="s">
        <v>50</v>
      </c>
      <c r="C213" t="s">
        <v>363</v>
      </c>
      <c r="D213" t="s">
        <v>110</v>
      </c>
      <c r="E213" t="s">
        <v>110</v>
      </c>
      <c r="F213" t="s">
        <v>180</v>
      </c>
      <c r="G213" t="s">
        <v>180</v>
      </c>
      <c r="H213" t="s">
        <v>85</v>
      </c>
      <c r="I213" t="s">
        <v>181</v>
      </c>
      <c r="J213" t="s">
        <v>180</v>
      </c>
      <c r="K213" t="s">
        <v>89</v>
      </c>
      <c r="N213" t="s">
        <v>88</v>
      </c>
      <c r="O213" t="s">
        <v>89</v>
      </c>
      <c r="P213" t="s">
        <v>88</v>
      </c>
      <c r="Q213" t="s">
        <v>89</v>
      </c>
      <c r="R213" s="19" t="s">
        <v>88</v>
      </c>
      <c r="AF213" s="16">
        <v>0</v>
      </c>
      <c r="AH213" t="s">
        <v>337</v>
      </c>
      <c r="AI213">
        <v>17</v>
      </c>
      <c r="AJ213" t="s">
        <v>209</v>
      </c>
      <c r="AK213" t="s">
        <v>351</v>
      </c>
      <c r="AL213" t="s">
        <v>353</v>
      </c>
      <c r="AM213" t="s">
        <v>18</v>
      </c>
      <c r="AN213" t="s">
        <v>50</v>
      </c>
    </row>
    <row r="214" spans="1:40">
      <c r="A214" t="s">
        <v>378</v>
      </c>
      <c r="B214" t="s">
        <v>50</v>
      </c>
      <c r="C214" t="s">
        <v>363</v>
      </c>
      <c r="D214" t="s">
        <v>111</v>
      </c>
      <c r="E214" t="s">
        <v>111</v>
      </c>
      <c r="F214" t="s">
        <v>180</v>
      </c>
      <c r="G214" t="s">
        <v>180</v>
      </c>
      <c r="H214" t="s">
        <v>86</v>
      </c>
      <c r="I214" t="s">
        <v>181</v>
      </c>
      <c r="J214" t="s">
        <v>180</v>
      </c>
      <c r="K214" t="s">
        <v>89</v>
      </c>
      <c r="N214" t="s">
        <v>88</v>
      </c>
      <c r="O214" t="s">
        <v>89</v>
      </c>
      <c r="P214" t="s">
        <v>89</v>
      </c>
      <c r="Q214" t="s">
        <v>88</v>
      </c>
      <c r="R214" s="19" t="s">
        <v>88</v>
      </c>
      <c r="Y214" s="17">
        <v>16</v>
      </c>
      <c r="AC214" s="19">
        <v>10</v>
      </c>
      <c r="AF214" s="16">
        <v>0.615385</v>
      </c>
      <c r="AH214" t="s">
        <v>337</v>
      </c>
      <c r="AI214">
        <v>17</v>
      </c>
      <c r="AJ214" t="s">
        <v>209</v>
      </c>
      <c r="AK214" t="s">
        <v>351</v>
      </c>
      <c r="AL214" t="s">
        <v>353</v>
      </c>
      <c r="AM214" t="s">
        <v>18</v>
      </c>
      <c r="AN214" t="s">
        <v>50</v>
      </c>
    </row>
    <row r="215" spans="1:40">
      <c r="A215" t="s">
        <v>379</v>
      </c>
      <c r="B215" t="s">
        <v>48</v>
      </c>
      <c r="C215" t="s">
        <v>363</v>
      </c>
      <c r="D215" t="s">
        <v>63</v>
      </c>
      <c r="E215" t="s">
        <v>63</v>
      </c>
      <c r="F215" t="s">
        <v>166</v>
      </c>
      <c r="G215" t="s">
        <v>166</v>
      </c>
      <c r="H215" t="s">
        <v>85</v>
      </c>
      <c r="I215" t="s">
        <v>167</v>
      </c>
      <c r="J215" t="s">
        <v>171</v>
      </c>
      <c r="K215" t="s">
        <v>88</v>
      </c>
      <c r="L215" t="s">
        <v>175</v>
      </c>
      <c r="M215" t="s">
        <v>179</v>
      </c>
      <c r="N215" t="s">
        <v>88</v>
      </c>
      <c r="O215" t="s">
        <v>89</v>
      </c>
      <c r="P215" t="s">
        <v>89</v>
      </c>
      <c r="Q215" t="s">
        <v>89</v>
      </c>
      <c r="R215" s="19" t="s">
        <v>88</v>
      </c>
      <c r="S215" s="17">
        <v>2</v>
      </c>
      <c r="T215" s="17">
        <v>1</v>
      </c>
      <c r="U215" s="17">
        <v>4</v>
      </c>
      <c r="V215" s="17">
        <v>2</v>
      </c>
      <c r="W215" s="17">
        <v>1</v>
      </c>
      <c r="AA215" s="19">
        <v>1</v>
      </c>
      <c r="AD215" s="19">
        <v>1</v>
      </c>
      <c r="AE215" s="19">
        <v>1</v>
      </c>
      <c r="AG215" s="16">
        <v>0.5</v>
      </c>
      <c r="AH215" t="s">
        <v>338</v>
      </c>
      <c r="AI215">
        <v>18</v>
      </c>
      <c r="AJ215" t="s">
        <v>210</v>
      </c>
      <c r="AK215" t="s">
        <v>352</v>
      </c>
      <c r="AL215" t="s">
        <v>362</v>
      </c>
      <c r="AM215" t="s">
        <v>19</v>
      </c>
      <c r="AN215" t="s">
        <v>48</v>
      </c>
    </row>
    <row r="216" spans="1:40">
      <c r="A216" t="s">
        <v>379</v>
      </c>
      <c r="B216" t="s">
        <v>48</v>
      </c>
      <c r="C216" t="s">
        <v>363</v>
      </c>
      <c r="D216" t="s">
        <v>69</v>
      </c>
      <c r="E216" t="s">
        <v>69</v>
      </c>
      <c r="F216" t="s">
        <v>166</v>
      </c>
      <c r="G216" t="s">
        <v>166</v>
      </c>
      <c r="H216" t="s">
        <v>85</v>
      </c>
      <c r="I216" t="s">
        <v>168</v>
      </c>
      <c r="J216" t="s">
        <v>172</v>
      </c>
      <c r="K216" t="s">
        <v>89</v>
      </c>
      <c r="N216" t="s">
        <v>88</v>
      </c>
      <c r="O216" t="s">
        <v>89</v>
      </c>
      <c r="P216" t="s">
        <v>89</v>
      </c>
      <c r="Q216" t="s">
        <v>89</v>
      </c>
      <c r="R216" s="19" t="s">
        <v>88</v>
      </c>
      <c r="U216" s="17">
        <v>2</v>
      </c>
      <c r="V216" s="17">
        <v>2</v>
      </c>
      <c r="W216" s="17">
        <v>1</v>
      </c>
      <c r="Y216" s="17">
        <v>1</v>
      </c>
      <c r="Z216" s="19">
        <v>1</v>
      </c>
      <c r="AD216" s="19">
        <v>1</v>
      </c>
      <c r="AE216" s="19">
        <v>1</v>
      </c>
      <c r="AG216" s="16">
        <v>0</v>
      </c>
      <c r="AH216" t="s">
        <v>338</v>
      </c>
      <c r="AI216">
        <v>18</v>
      </c>
      <c r="AJ216" t="s">
        <v>210</v>
      </c>
      <c r="AK216" t="s">
        <v>352</v>
      </c>
      <c r="AL216" t="s">
        <v>362</v>
      </c>
      <c r="AM216" t="s">
        <v>19</v>
      </c>
      <c r="AN216" t="s">
        <v>48</v>
      </c>
    </row>
    <row r="217" spans="1:40">
      <c r="A217" t="s">
        <v>379</v>
      </c>
      <c r="B217" t="s">
        <v>48</v>
      </c>
      <c r="C217" t="s">
        <v>363</v>
      </c>
      <c r="D217" t="s">
        <v>60</v>
      </c>
      <c r="E217" t="s">
        <v>60</v>
      </c>
      <c r="F217" t="s">
        <v>166</v>
      </c>
      <c r="G217" t="s">
        <v>166</v>
      </c>
      <c r="H217" t="s">
        <v>85</v>
      </c>
      <c r="I217" t="s">
        <v>167</v>
      </c>
      <c r="J217" t="s">
        <v>171</v>
      </c>
      <c r="K217" t="s">
        <v>88</v>
      </c>
      <c r="L217" t="s">
        <v>176</v>
      </c>
      <c r="M217" t="s">
        <v>138</v>
      </c>
      <c r="N217" t="s">
        <v>88</v>
      </c>
      <c r="O217" t="s">
        <v>89</v>
      </c>
      <c r="P217" t="s">
        <v>89</v>
      </c>
      <c r="Q217" t="s">
        <v>89</v>
      </c>
      <c r="R217" s="19" t="s">
        <v>88</v>
      </c>
      <c r="S217" s="17">
        <v>2</v>
      </c>
      <c r="T217" s="17">
        <v>2</v>
      </c>
      <c r="U217" s="17">
        <v>7</v>
      </c>
      <c r="V217" s="17">
        <v>1</v>
      </c>
      <c r="W217" s="17">
        <v>1</v>
      </c>
      <c r="X217" s="17">
        <v>1</v>
      </c>
      <c r="Y217" s="17">
        <v>1</v>
      </c>
      <c r="Z217" s="19">
        <v>3</v>
      </c>
      <c r="AG217" s="16">
        <v>0.285714</v>
      </c>
      <c r="AH217" t="s">
        <v>338</v>
      </c>
      <c r="AI217">
        <v>18</v>
      </c>
      <c r="AJ217" t="s">
        <v>210</v>
      </c>
      <c r="AK217" t="s">
        <v>352</v>
      </c>
      <c r="AL217" t="s">
        <v>362</v>
      </c>
      <c r="AM217" t="s">
        <v>19</v>
      </c>
      <c r="AN217" t="s">
        <v>48</v>
      </c>
    </row>
    <row r="218" spans="1:40">
      <c r="A218" t="s">
        <v>379</v>
      </c>
      <c r="B218" t="s">
        <v>48</v>
      </c>
      <c r="C218" t="s">
        <v>363</v>
      </c>
      <c r="D218" t="s">
        <v>61</v>
      </c>
      <c r="E218" t="s">
        <v>61</v>
      </c>
      <c r="F218" t="s">
        <v>166</v>
      </c>
      <c r="G218" t="s">
        <v>166</v>
      </c>
      <c r="H218" t="s">
        <v>85</v>
      </c>
      <c r="I218" t="s">
        <v>169</v>
      </c>
      <c r="J218" t="s">
        <v>173</v>
      </c>
      <c r="K218" t="s">
        <v>88</v>
      </c>
      <c r="L218" t="s">
        <v>177</v>
      </c>
      <c r="M218" t="s">
        <v>138</v>
      </c>
      <c r="N218" t="s">
        <v>88</v>
      </c>
      <c r="O218" t="s">
        <v>89</v>
      </c>
      <c r="P218" t="s">
        <v>89</v>
      </c>
      <c r="Q218" t="s">
        <v>89</v>
      </c>
      <c r="R218" s="19" t="s">
        <v>88</v>
      </c>
      <c r="S218" s="17">
        <v>2</v>
      </c>
      <c r="U218" s="17">
        <v>2</v>
      </c>
      <c r="V218" s="17">
        <v>1</v>
      </c>
      <c r="W218" s="17">
        <v>2</v>
      </c>
      <c r="AD218" s="19">
        <v>3</v>
      </c>
      <c r="AE218" s="19">
        <v>1</v>
      </c>
      <c r="AG218" s="16">
        <v>1</v>
      </c>
      <c r="AH218" t="s">
        <v>338</v>
      </c>
      <c r="AI218">
        <v>18</v>
      </c>
      <c r="AJ218" t="s">
        <v>210</v>
      </c>
      <c r="AK218" t="s">
        <v>352</v>
      </c>
      <c r="AL218" t="s">
        <v>362</v>
      </c>
      <c r="AM218" t="s">
        <v>19</v>
      </c>
      <c r="AN218" t="s">
        <v>48</v>
      </c>
    </row>
    <row r="219" spans="1:40">
      <c r="A219" t="s">
        <v>379</v>
      </c>
      <c r="B219" t="s">
        <v>48</v>
      </c>
      <c r="C219" t="s">
        <v>363</v>
      </c>
      <c r="D219" t="s">
        <v>68</v>
      </c>
      <c r="E219" t="s">
        <v>68</v>
      </c>
      <c r="F219" t="s">
        <v>166</v>
      </c>
      <c r="G219" t="s">
        <v>166</v>
      </c>
      <c r="H219" t="s">
        <v>85</v>
      </c>
      <c r="I219" t="s">
        <v>170</v>
      </c>
      <c r="J219" t="s">
        <v>174</v>
      </c>
      <c r="K219" t="s">
        <v>89</v>
      </c>
      <c r="N219" t="s">
        <v>88</v>
      </c>
      <c r="O219" t="s">
        <v>89</v>
      </c>
      <c r="P219" t="s">
        <v>89</v>
      </c>
      <c r="Q219" t="s">
        <v>89</v>
      </c>
      <c r="R219" s="19" t="s">
        <v>88</v>
      </c>
      <c r="U219" s="17">
        <v>1</v>
      </c>
      <c r="V219" s="17">
        <v>1</v>
      </c>
      <c r="W219" s="17">
        <v>2</v>
      </c>
      <c r="AG219" s="16">
        <v>0</v>
      </c>
      <c r="AH219" t="s">
        <v>338</v>
      </c>
      <c r="AI219">
        <v>18</v>
      </c>
      <c r="AJ219" t="s">
        <v>210</v>
      </c>
      <c r="AK219" t="s">
        <v>352</v>
      </c>
      <c r="AL219" t="s">
        <v>362</v>
      </c>
      <c r="AM219" t="s">
        <v>19</v>
      </c>
      <c r="AN219" t="s">
        <v>48</v>
      </c>
    </row>
    <row r="220" spans="1:40">
      <c r="A220" t="s">
        <v>379</v>
      </c>
      <c r="B220" t="s">
        <v>48</v>
      </c>
      <c r="C220" t="s">
        <v>363</v>
      </c>
      <c r="D220" t="s">
        <v>65</v>
      </c>
      <c r="E220" t="s">
        <v>65</v>
      </c>
      <c r="F220" t="s">
        <v>166</v>
      </c>
      <c r="G220" t="s">
        <v>166</v>
      </c>
      <c r="H220" t="s">
        <v>86</v>
      </c>
      <c r="I220" t="s">
        <v>170</v>
      </c>
      <c r="J220" t="s">
        <v>174</v>
      </c>
      <c r="K220" t="s">
        <v>89</v>
      </c>
      <c r="N220" t="s">
        <v>88</v>
      </c>
      <c r="O220" t="s">
        <v>89</v>
      </c>
      <c r="P220" t="s">
        <v>89</v>
      </c>
      <c r="Q220" t="s">
        <v>89</v>
      </c>
      <c r="R220" s="19" t="s">
        <v>88</v>
      </c>
      <c r="T220" s="17">
        <v>3</v>
      </c>
      <c r="U220" s="17">
        <v>2</v>
      </c>
      <c r="V220" s="17">
        <v>1</v>
      </c>
      <c r="W220" s="17">
        <v>1</v>
      </c>
      <c r="Z220" s="19">
        <v>2</v>
      </c>
      <c r="AB220" s="19">
        <v>1</v>
      </c>
      <c r="AD220" s="19">
        <v>1</v>
      </c>
      <c r="AG220" s="16">
        <v>0</v>
      </c>
      <c r="AH220" t="s">
        <v>338</v>
      </c>
      <c r="AI220">
        <v>18</v>
      </c>
      <c r="AJ220" t="s">
        <v>210</v>
      </c>
      <c r="AK220" t="s">
        <v>352</v>
      </c>
      <c r="AL220" t="s">
        <v>362</v>
      </c>
      <c r="AM220" t="s">
        <v>19</v>
      </c>
      <c r="AN220" t="s">
        <v>48</v>
      </c>
    </row>
    <row r="221" spans="1:40">
      <c r="A221" t="s">
        <v>379</v>
      </c>
      <c r="B221" t="s">
        <v>48</v>
      </c>
      <c r="C221" t="s">
        <v>363</v>
      </c>
      <c r="D221" t="s">
        <v>64</v>
      </c>
      <c r="E221" t="s">
        <v>64</v>
      </c>
      <c r="F221" t="s">
        <v>166</v>
      </c>
      <c r="G221" t="s">
        <v>166</v>
      </c>
      <c r="H221" t="s">
        <v>85</v>
      </c>
      <c r="I221" t="s">
        <v>168</v>
      </c>
      <c r="J221" t="s">
        <v>172</v>
      </c>
      <c r="K221" t="s">
        <v>88</v>
      </c>
      <c r="L221" t="s">
        <v>178</v>
      </c>
      <c r="M221" t="s">
        <v>138</v>
      </c>
      <c r="N221" t="s">
        <v>88</v>
      </c>
      <c r="O221" t="s">
        <v>89</v>
      </c>
      <c r="P221" t="s">
        <v>89</v>
      </c>
      <c r="Q221" t="s">
        <v>89</v>
      </c>
      <c r="R221" s="19" t="s">
        <v>88</v>
      </c>
      <c r="S221" s="17">
        <v>1</v>
      </c>
      <c r="U221" s="17">
        <v>2</v>
      </c>
      <c r="V221" s="17">
        <v>1</v>
      </c>
      <c r="W221" s="17">
        <v>1</v>
      </c>
      <c r="X221" s="17">
        <v>1</v>
      </c>
      <c r="Y221" s="17">
        <v>1</v>
      </c>
      <c r="Z221" s="19">
        <v>1</v>
      </c>
      <c r="AG221" s="16">
        <v>0.5</v>
      </c>
      <c r="AH221" t="s">
        <v>338</v>
      </c>
      <c r="AI221">
        <v>18</v>
      </c>
      <c r="AJ221" t="s">
        <v>210</v>
      </c>
      <c r="AK221" t="s">
        <v>352</v>
      </c>
      <c r="AL221" t="s">
        <v>362</v>
      </c>
      <c r="AM221" t="s">
        <v>19</v>
      </c>
      <c r="AN221" t="s">
        <v>48</v>
      </c>
    </row>
    <row r="222" spans="1:40">
      <c r="A222" t="s">
        <v>379</v>
      </c>
      <c r="B222" t="s">
        <v>48</v>
      </c>
      <c r="C222" t="s">
        <v>363</v>
      </c>
      <c r="D222" t="s">
        <v>71</v>
      </c>
      <c r="E222" t="s">
        <v>71</v>
      </c>
      <c r="F222" t="s">
        <v>166</v>
      </c>
      <c r="G222" t="s">
        <v>166</v>
      </c>
      <c r="H222" t="s">
        <v>85</v>
      </c>
      <c r="I222" t="s">
        <v>170</v>
      </c>
      <c r="J222" t="s">
        <v>174</v>
      </c>
      <c r="K222" t="s">
        <v>89</v>
      </c>
      <c r="N222" t="s">
        <v>88</v>
      </c>
      <c r="O222" t="s">
        <v>89</v>
      </c>
      <c r="P222" t="s">
        <v>89</v>
      </c>
      <c r="Q222" t="s">
        <v>89</v>
      </c>
      <c r="R222" s="19" t="s">
        <v>88</v>
      </c>
      <c r="S222" s="17">
        <v>2</v>
      </c>
      <c r="T222" s="17">
        <v>1</v>
      </c>
      <c r="U222" s="17">
        <v>6</v>
      </c>
      <c r="V222" s="17">
        <v>1</v>
      </c>
      <c r="AE222" s="19">
        <v>1</v>
      </c>
      <c r="AG222" s="16">
        <v>0.333333</v>
      </c>
      <c r="AH222" t="s">
        <v>338</v>
      </c>
      <c r="AI222">
        <v>18</v>
      </c>
      <c r="AJ222" t="s">
        <v>210</v>
      </c>
      <c r="AK222" t="s">
        <v>352</v>
      </c>
      <c r="AL222" t="s">
        <v>362</v>
      </c>
      <c r="AM222" t="s">
        <v>19</v>
      </c>
      <c r="AN222" t="s">
        <v>48</v>
      </c>
    </row>
    <row r="223" spans="1:40">
      <c r="A223" t="s">
        <v>379</v>
      </c>
      <c r="B223" t="s">
        <v>48</v>
      </c>
      <c r="C223" t="s">
        <v>363</v>
      </c>
      <c r="D223" t="s">
        <v>66</v>
      </c>
      <c r="E223" t="s">
        <v>66</v>
      </c>
      <c r="F223" t="s">
        <v>166</v>
      </c>
      <c r="G223" t="s">
        <v>166</v>
      </c>
      <c r="H223" t="s">
        <v>85</v>
      </c>
      <c r="I223" t="s">
        <v>167</v>
      </c>
      <c r="J223" t="s">
        <v>171</v>
      </c>
      <c r="K223" t="s">
        <v>89</v>
      </c>
      <c r="N223" t="s">
        <v>88</v>
      </c>
      <c r="O223" t="s">
        <v>89</v>
      </c>
      <c r="P223" t="s">
        <v>89</v>
      </c>
      <c r="Q223" t="s">
        <v>89</v>
      </c>
      <c r="R223" s="19" t="s">
        <v>88</v>
      </c>
      <c r="T223" s="17">
        <v>1</v>
      </c>
      <c r="U223" s="17">
        <v>1</v>
      </c>
      <c r="V223" s="17">
        <v>1</v>
      </c>
      <c r="AE223" s="19">
        <v>1</v>
      </c>
      <c r="AG223" s="16">
        <v>0</v>
      </c>
      <c r="AH223" t="s">
        <v>338</v>
      </c>
      <c r="AI223">
        <v>18</v>
      </c>
      <c r="AJ223" t="s">
        <v>210</v>
      </c>
      <c r="AK223" t="s">
        <v>352</v>
      </c>
      <c r="AL223" t="s">
        <v>362</v>
      </c>
      <c r="AM223" t="s">
        <v>19</v>
      </c>
      <c r="AN223" t="s">
        <v>48</v>
      </c>
    </row>
    <row r="224" spans="1:40">
      <c r="A224" t="s">
        <v>379</v>
      </c>
      <c r="B224" t="s">
        <v>48</v>
      </c>
      <c r="C224" t="s">
        <v>363</v>
      </c>
      <c r="D224" t="s">
        <v>70</v>
      </c>
      <c r="E224" t="s">
        <v>70</v>
      </c>
      <c r="F224" t="s">
        <v>166</v>
      </c>
      <c r="G224" t="s">
        <v>166</v>
      </c>
      <c r="H224" t="s">
        <v>85</v>
      </c>
      <c r="I224" t="s">
        <v>170</v>
      </c>
      <c r="J224" t="s">
        <v>174</v>
      </c>
      <c r="K224" t="s">
        <v>89</v>
      </c>
      <c r="N224" t="s">
        <v>88</v>
      </c>
      <c r="O224" t="s">
        <v>89</v>
      </c>
      <c r="P224" t="s">
        <v>89</v>
      </c>
      <c r="Q224" t="s">
        <v>89</v>
      </c>
      <c r="R224" s="19" t="s">
        <v>88</v>
      </c>
      <c r="S224" s="17">
        <v>1</v>
      </c>
      <c r="T224" s="17">
        <v>2</v>
      </c>
      <c r="U224" s="17">
        <v>2</v>
      </c>
      <c r="W224" s="17">
        <v>1</v>
      </c>
      <c r="X224" s="17">
        <v>1</v>
      </c>
      <c r="Y224" s="17">
        <v>1</v>
      </c>
      <c r="Z224" s="19">
        <v>1</v>
      </c>
      <c r="AE224" s="19">
        <v>1</v>
      </c>
      <c r="AG224" s="16">
        <v>0.5</v>
      </c>
      <c r="AH224" t="s">
        <v>338</v>
      </c>
      <c r="AI224">
        <v>18</v>
      </c>
      <c r="AJ224" t="s">
        <v>210</v>
      </c>
      <c r="AK224" t="s">
        <v>352</v>
      </c>
      <c r="AL224" t="s">
        <v>362</v>
      </c>
      <c r="AM224" t="s">
        <v>19</v>
      </c>
      <c r="AN224" t="s">
        <v>48</v>
      </c>
    </row>
    <row r="225" spans="1:40">
      <c r="A225" t="s">
        <v>379</v>
      </c>
      <c r="B225" t="s">
        <v>48</v>
      </c>
      <c r="C225" t="s">
        <v>363</v>
      </c>
      <c r="D225" t="s">
        <v>62</v>
      </c>
      <c r="E225" t="s">
        <v>62</v>
      </c>
      <c r="F225" t="s">
        <v>166</v>
      </c>
      <c r="G225" t="s">
        <v>166</v>
      </c>
      <c r="H225" t="s">
        <v>85</v>
      </c>
      <c r="I225" t="s">
        <v>169</v>
      </c>
      <c r="J225" t="s">
        <v>173</v>
      </c>
      <c r="K225" t="s">
        <v>89</v>
      </c>
      <c r="N225" t="s">
        <v>88</v>
      </c>
      <c r="O225" t="s">
        <v>89</v>
      </c>
      <c r="P225" t="s">
        <v>89</v>
      </c>
      <c r="Q225" t="s">
        <v>89</v>
      </c>
      <c r="R225" s="19" t="s">
        <v>88</v>
      </c>
      <c r="U225" s="17">
        <v>1</v>
      </c>
      <c r="V225" s="17">
        <v>2</v>
      </c>
      <c r="W225" s="17">
        <v>2</v>
      </c>
      <c r="Z225" s="19">
        <v>1</v>
      </c>
      <c r="AD225" s="19">
        <v>1</v>
      </c>
      <c r="AG225" s="16">
        <v>0</v>
      </c>
      <c r="AH225" t="s">
        <v>338</v>
      </c>
      <c r="AI225">
        <v>18</v>
      </c>
      <c r="AJ225" t="s">
        <v>210</v>
      </c>
      <c r="AK225" t="s">
        <v>352</v>
      </c>
      <c r="AL225" t="s">
        <v>362</v>
      </c>
      <c r="AM225" t="s">
        <v>19</v>
      </c>
      <c r="AN225" t="s">
        <v>48</v>
      </c>
    </row>
    <row r="226" spans="1:40">
      <c r="A226" t="s">
        <v>379</v>
      </c>
      <c r="B226" t="s">
        <v>48</v>
      </c>
      <c r="C226" t="s">
        <v>363</v>
      </c>
      <c r="D226" t="s">
        <v>59</v>
      </c>
      <c r="E226" t="s">
        <v>59</v>
      </c>
      <c r="F226" t="s">
        <v>166</v>
      </c>
      <c r="G226" t="s">
        <v>166</v>
      </c>
      <c r="H226" t="s">
        <v>85</v>
      </c>
      <c r="I226" t="s">
        <v>167</v>
      </c>
      <c r="J226" t="s">
        <v>171</v>
      </c>
      <c r="K226" t="s">
        <v>89</v>
      </c>
      <c r="N226" t="s">
        <v>88</v>
      </c>
      <c r="O226" t="s">
        <v>89</v>
      </c>
      <c r="P226" t="s">
        <v>89</v>
      </c>
      <c r="Q226" t="s">
        <v>89</v>
      </c>
      <c r="R226" s="19" t="s">
        <v>88</v>
      </c>
      <c r="S226" s="17">
        <v>5</v>
      </c>
      <c r="U226" s="17">
        <v>7</v>
      </c>
      <c r="W226" s="17">
        <v>1</v>
      </c>
      <c r="Z226" s="19">
        <v>1</v>
      </c>
      <c r="AB226" s="19">
        <v>1</v>
      </c>
      <c r="AG226" s="16">
        <v>0.714286</v>
      </c>
      <c r="AH226" t="s">
        <v>338</v>
      </c>
      <c r="AI226">
        <v>18</v>
      </c>
      <c r="AJ226" t="s">
        <v>210</v>
      </c>
      <c r="AK226" t="s">
        <v>352</v>
      </c>
      <c r="AL226" t="s">
        <v>362</v>
      </c>
      <c r="AM226" t="s">
        <v>19</v>
      </c>
      <c r="AN226" t="s">
        <v>48</v>
      </c>
    </row>
    <row r="227" spans="1:40">
      <c r="A227" t="s">
        <v>379</v>
      </c>
      <c r="B227" t="s">
        <v>48</v>
      </c>
      <c r="C227" t="s">
        <v>363</v>
      </c>
      <c r="D227" t="s">
        <v>110</v>
      </c>
      <c r="E227" t="s">
        <v>110</v>
      </c>
      <c r="F227" t="s">
        <v>180</v>
      </c>
      <c r="G227" t="s">
        <v>180</v>
      </c>
      <c r="H227" t="s">
        <v>85</v>
      </c>
      <c r="I227" t="s">
        <v>181</v>
      </c>
      <c r="J227" t="s">
        <v>180</v>
      </c>
      <c r="K227" t="s">
        <v>89</v>
      </c>
      <c r="N227" t="s">
        <v>88</v>
      </c>
      <c r="O227" t="s">
        <v>89</v>
      </c>
      <c r="P227" t="s">
        <v>88</v>
      </c>
      <c r="Q227" t="s">
        <v>89</v>
      </c>
      <c r="R227" s="19" t="s">
        <v>88</v>
      </c>
      <c r="AF227" s="16">
        <v>0</v>
      </c>
      <c r="AH227" t="s">
        <v>338</v>
      </c>
      <c r="AI227">
        <v>18</v>
      </c>
      <c r="AJ227" t="s">
        <v>210</v>
      </c>
      <c r="AK227" t="s">
        <v>352</v>
      </c>
      <c r="AL227" t="s">
        <v>362</v>
      </c>
      <c r="AM227" t="s">
        <v>19</v>
      </c>
      <c r="AN227" t="s">
        <v>48</v>
      </c>
    </row>
    <row r="228" spans="1:40">
      <c r="A228" t="s">
        <v>379</v>
      </c>
      <c r="B228" t="s">
        <v>48</v>
      </c>
      <c r="C228" t="s">
        <v>363</v>
      </c>
      <c r="D228" t="s">
        <v>111</v>
      </c>
      <c r="E228" t="s">
        <v>111</v>
      </c>
      <c r="F228" t="s">
        <v>180</v>
      </c>
      <c r="G228" t="s">
        <v>180</v>
      </c>
      <c r="H228" t="s">
        <v>86</v>
      </c>
      <c r="I228" t="s">
        <v>181</v>
      </c>
      <c r="J228" t="s">
        <v>180</v>
      </c>
      <c r="K228" t="s">
        <v>89</v>
      </c>
      <c r="N228" t="s">
        <v>88</v>
      </c>
      <c r="O228" t="s">
        <v>89</v>
      </c>
      <c r="P228" t="s">
        <v>89</v>
      </c>
      <c r="Q228" t="s">
        <v>88</v>
      </c>
      <c r="R228" s="19" t="s">
        <v>88</v>
      </c>
      <c r="Y228" s="17">
        <v>7</v>
      </c>
      <c r="AC228" s="19">
        <v>8</v>
      </c>
      <c r="AF228" s="16">
        <v>0.466667</v>
      </c>
      <c r="AH228" t="s">
        <v>338</v>
      </c>
      <c r="AI228">
        <v>18</v>
      </c>
      <c r="AJ228" t="s">
        <v>210</v>
      </c>
      <c r="AK228" t="s">
        <v>352</v>
      </c>
      <c r="AL228" t="s">
        <v>362</v>
      </c>
      <c r="AM228" t="s">
        <v>19</v>
      </c>
      <c r="AN228" t="s">
        <v>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2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0.7109375" customWidth="1"/>
    <col min="3" max="3" width="12.7109375" customWidth="1"/>
    <col min="4" max="5" width="11.7109375" customWidth="1"/>
    <col min="6" max="6" width="13.7109375" customWidth="1"/>
    <col min="7" max="7" width="6.7109375" customWidth="1"/>
    <col min="8" max="8" width="12.7109375" customWidth="1"/>
    <col min="9" max="9" width="22.7109375" customWidth="1"/>
    <col min="10" max="10" width="7.7109375" customWidth="1"/>
    <col min="11" max="11" width="13.7109375" customWidth="1"/>
    <col min="12" max="12" width="19.7109375" customWidth="1"/>
    <col min="13" max="14" width="16.7109375" customWidth="1"/>
    <col min="15" max="15" width="9.140625" style="19"/>
    <col min="16" max="16" width="20.7109375" customWidth="1"/>
    <col min="17" max="17" width="17.7109375" customWidth="1"/>
  </cols>
  <sheetData>
    <row r="1" spans="1:17">
      <c r="A1" s="15" t="s">
        <v>305</v>
      </c>
      <c r="B1" s="15" t="s">
        <v>23</v>
      </c>
      <c r="C1" s="15" t="s">
        <v>24</v>
      </c>
      <c r="D1" s="15" t="s">
        <v>57</v>
      </c>
      <c r="E1" s="15" t="s">
        <v>133</v>
      </c>
      <c r="F1" s="15" t="s">
        <v>134</v>
      </c>
      <c r="G1" s="15" t="s">
        <v>135</v>
      </c>
      <c r="H1" s="15" t="s">
        <v>136</v>
      </c>
      <c r="I1" s="15" t="s">
        <v>137</v>
      </c>
      <c r="J1" s="15" t="s">
        <v>138</v>
      </c>
      <c r="K1" s="15" t="s">
        <v>139</v>
      </c>
      <c r="L1" s="15" t="s">
        <v>463</v>
      </c>
      <c r="M1" s="15" t="s">
        <v>464</v>
      </c>
      <c r="N1" s="15" t="s">
        <v>465</v>
      </c>
      <c r="O1" s="15" t="s">
        <v>466</v>
      </c>
      <c r="P1" s="15" t="s">
        <v>194</v>
      </c>
      <c r="Q1" s="15" t="s">
        <v>407</v>
      </c>
    </row>
    <row r="2" spans="1:17">
      <c r="A2" t="s">
        <v>322</v>
      </c>
      <c r="B2">
        <v>2</v>
      </c>
      <c r="C2" t="s">
        <v>195</v>
      </c>
      <c r="D2" t="s">
        <v>63</v>
      </c>
      <c r="E2" t="s">
        <v>166</v>
      </c>
      <c r="F2" t="s">
        <v>166</v>
      </c>
      <c r="G2" t="s">
        <v>85</v>
      </c>
      <c r="H2" t="s">
        <v>167</v>
      </c>
      <c r="I2" t="s">
        <v>171</v>
      </c>
      <c r="J2" t="s">
        <v>88</v>
      </c>
      <c r="K2" t="s">
        <v>175</v>
      </c>
      <c r="L2">
        <v>11.5</v>
      </c>
      <c r="M2">
        <v>20</v>
      </c>
      <c r="N2">
        <v>8.5</v>
      </c>
      <c r="O2" s="19">
        <v>0</v>
      </c>
      <c r="P2">
        <v>11.5</v>
      </c>
      <c r="Q2" t="s">
        <v>410</v>
      </c>
    </row>
    <row r="3" spans="1:17">
      <c r="A3" t="s">
        <v>322</v>
      </c>
      <c r="B3">
        <v>2</v>
      </c>
      <c r="C3" t="s">
        <v>195</v>
      </c>
      <c r="D3" t="s">
        <v>69</v>
      </c>
      <c r="E3" t="s">
        <v>166</v>
      </c>
      <c r="F3" t="s">
        <v>166</v>
      </c>
      <c r="G3" t="s">
        <v>85</v>
      </c>
      <c r="H3" t="s">
        <v>168</v>
      </c>
      <c r="I3" t="s">
        <v>172</v>
      </c>
      <c r="J3" t="s">
        <v>89</v>
      </c>
      <c r="L3">
        <v>4</v>
      </c>
      <c r="M3">
        <v>6</v>
      </c>
      <c r="N3">
        <v>2</v>
      </c>
      <c r="O3" s="19">
        <v>0</v>
      </c>
      <c r="P3">
        <v>4</v>
      </c>
      <c r="Q3" t="s">
        <v>410</v>
      </c>
    </row>
    <row r="4" spans="1:17">
      <c r="A4" t="s">
        <v>322</v>
      </c>
      <c r="B4">
        <v>2</v>
      </c>
      <c r="C4" t="s">
        <v>195</v>
      </c>
      <c r="D4" t="s">
        <v>60</v>
      </c>
      <c r="E4" t="s">
        <v>166</v>
      </c>
      <c r="F4" t="s">
        <v>166</v>
      </c>
      <c r="G4" t="s">
        <v>85</v>
      </c>
      <c r="H4" t="s">
        <v>167</v>
      </c>
      <c r="I4" t="s">
        <v>171</v>
      </c>
      <c r="J4" t="s">
        <v>88</v>
      </c>
      <c r="K4" t="s">
        <v>176</v>
      </c>
      <c r="L4">
        <v>-2</v>
      </c>
      <c r="M4">
        <v>5.5</v>
      </c>
      <c r="N4">
        <v>7.5</v>
      </c>
      <c r="O4" s="19">
        <v>0</v>
      </c>
      <c r="P4">
        <v>-2</v>
      </c>
      <c r="Q4" t="s">
        <v>410</v>
      </c>
    </row>
    <row r="5" spans="1:17">
      <c r="A5" t="s">
        <v>322</v>
      </c>
      <c r="B5">
        <v>2</v>
      </c>
      <c r="C5" t="s">
        <v>195</v>
      </c>
      <c r="D5" t="s">
        <v>61</v>
      </c>
      <c r="E5" t="s">
        <v>166</v>
      </c>
      <c r="F5" t="s">
        <v>166</v>
      </c>
      <c r="G5" t="s">
        <v>85</v>
      </c>
      <c r="H5" t="s">
        <v>169</v>
      </c>
      <c r="I5" t="s">
        <v>173</v>
      </c>
      <c r="J5" t="s">
        <v>88</v>
      </c>
      <c r="K5" t="s">
        <v>177</v>
      </c>
      <c r="L5">
        <v>25</v>
      </c>
      <c r="M5">
        <v>33</v>
      </c>
      <c r="N5">
        <v>8</v>
      </c>
      <c r="O5" s="19">
        <v>0</v>
      </c>
      <c r="P5">
        <v>25</v>
      </c>
      <c r="Q5" t="s">
        <v>410</v>
      </c>
    </row>
    <row r="6" spans="1:17">
      <c r="A6" t="s">
        <v>322</v>
      </c>
      <c r="B6">
        <v>2</v>
      </c>
      <c r="C6" t="s">
        <v>195</v>
      </c>
      <c r="D6" t="s">
        <v>68</v>
      </c>
      <c r="E6" t="s">
        <v>166</v>
      </c>
      <c r="F6" t="s">
        <v>166</v>
      </c>
      <c r="G6" t="s">
        <v>85</v>
      </c>
      <c r="H6" t="s">
        <v>170</v>
      </c>
      <c r="I6" t="s">
        <v>174</v>
      </c>
      <c r="J6" t="s">
        <v>89</v>
      </c>
      <c r="L6">
        <v>9.5</v>
      </c>
      <c r="M6">
        <v>11.5</v>
      </c>
      <c r="N6">
        <v>2</v>
      </c>
      <c r="O6" s="19">
        <v>0</v>
      </c>
      <c r="P6">
        <v>9.5</v>
      </c>
      <c r="Q6" t="s">
        <v>410</v>
      </c>
    </row>
    <row r="7" spans="1:17">
      <c r="A7" t="s">
        <v>322</v>
      </c>
      <c r="B7">
        <v>2</v>
      </c>
      <c r="C7" t="s">
        <v>195</v>
      </c>
      <c r="D7" t="s">
        <v>65</v>
      </c>
      <c r="E7" t="s">
        <v>166</v>
      </c>
      <c r="F7" t="s">
        <v>166</v>
      </c>
      <c r="G7" t="s">
        <v>86</v>
      </c>
      <c r="H7" t="s">
        <v>170</v>
      </c>
      <c r="I7" t="s">
        <v>174</v>
      </c>
      <c r="J7" t="s">
        <v>89</v>
      </c>
      <c r="L7">
        <v>-3</v>
      </c>
      <c r="M7">
        <v>7.5</v>
      </c>
      <c r="N7">
        <v>10.5</v>
      </c>
      <c r="O7" s="19">
        <v>0</v>
      </c>
      <c r="P7">
        <v>-3</v>
      </c>
      <c r="Q7" t="s">
        <v>410</v>
      </c>
    </row>
    <row r="8" spans="1:17">
      <c r="A8" t="s">
        <v>322</v>
      </c>
      <c r="B8">
        <v>2</v>
      </c>
      <c r="C8" t="s">
        <v>195</v>
      </c>
      <c r="D8" t="s">
        <v>64</v>
      </c>
      <c r="E8" t="s">
        <v>166</v>
      </c>
      <c r="F8" t="s">
        <v>166</v>
      </c>
      <c r="G8" t="s">
        <v>85</v>
      </c>
      <c r="H8" t="s">
        <v>168</v>
      </c>
      <c r="I8" t="s">
        <v>172</v>
      </c>
      <c r="J8" t="s">
        <v>88</v>
      </c>
      <c r="K8" t="s">
        <v>178</v>
      </c>
      <c r="L8">
        <v>1.5</v>
      </c>
      <c r="M8">
        <v>10</v>
      </c>
      <c r="N8">
        <v>8.5</v>
      </c>
      <c r="O8" s="19">
        <v>0</v>
      </c>
      <c r="P8">
        <v>1.5</v>
      </c>
      <c r="Q8" t="s">
        <v>410</v>
      </c>
    </row>
    <row r="9" spans="1:17">
      <c r="A9" t="s">
        <v>322</v>
      </c>
      <c r="B9">
        <v>2</v>
      </c>
      <c r="C9" t="s">
        <v>195</v>
      </c>
      <c r="D9" t="s">
        <v>71</v>
      </c>
      <c r="E9" t="s">
        <v>166</v>
      </c>
      <c r="F9" t="s">
        <v>166</v>
      </c>
      <c r="G9" t="s">
        <v>85</v>
      </c>
      <c r="H9" t="s">
        <v>170</v>
      </c>
      <c r="I9" t="s">
        <v>174</v>
      </c>
      <c r="J9" t="s">
        <v>89</v>
      </c>
      <c r="L9">
        <v>0</v>
      </c>
      <c r="M9">
        <v>0</v>
      </c>
      <c r="N9">
        <v>0</v>
      </c>
      <c r="O9" s="19">
        <v>0</v>
      </c>
      <c r="P9">
        <v>0</v>
      </c>
      <c r="Q9" t="s">
        <v>410</v>
      </c>
    </row>
    <row r="10" spans="1:17">
      <c r="A10" t="s">
        <v>322</v>
      </c>
      <c r="B10">
        <v>2</v>
      </c>
      <c r="C10" t="s">
        <v>195</v>
      </c>
      <c r="D10" t="s">
        <v>129</v>
      </c>
      <c r="E10" t="s">
        <v>166</v>
      </c>
      <c r="F10" t="s">
        <v>166</v>
      </c>
      <c r="G10" t="s">
        <v>85</v>
      </c>
      <c r="H10" t="s">
        <v>170</v>
      </c>
      <c r="I10" t="s">
        <v>174</v>
      </c>
      <c r="J10" t="s">
        <v>89</v>
      </c>
      <c r="L10">
        <v>-1.5</v>
      </c>
      <c r="M10">
        <v>5</v>
      </c>
      <c r="N10">
        <v>6.5</v>
      </c>
      <c r="O10" s="19">
        <v>0</v>
      </c>
      <c r="P10">
        <v>-1.5</v>
      </c>
      <c r="Q10" t="s">
        <v>410</v>
      </c>
    </row>
    <row r="11" spans="1:17">
      <c r="A11" t="s">
        <v>322</v>
      </c>
      <c r="B11">
        <v>2</v>
      </c>
      <c r="C11" t="s">
        <v>195</v>
      </c>
      <c r="D11" t="s">
        <v>66</v>
      </c>
      <c r="E11" t="s">
        <v>166</v>
      </c>
      <c r="F11" t="s">
        <v>166</v>
      </c>
      <c r="G11" t="s">
        <v>85</v>
      </c>
      <c r="H11" t="s">
        <v>167</v>
      </c>
      <c r="I11" t="s">
        <v>171</v>
      </c>
      <c r="J11" t="s">
        <v>89</v>
      </c>
      <c r="L11">
        <v>0.5</v>
      </c>
      <c r="M11">
        <v>0.5</v>
      </c>
      <c r="N11">
        <v>0</v>
      </c>
      <c r="O11" s="19">
        <v>0</v>
      </c>
      <c r="P11">
        <v>0.5</v>
      </c>
      <c r="Q11" t="s">
        <v>410</v>
      </c>
    </row>
    <row r="12" spans="1:17">
      <c r="A12" t="s">
        <v>322</v>
      </c>
      <c r="B12">
        <v>2</v>
      </c>
      <c r="C12" t="s">
        <v>195</v>
      </c>
      <c r="D12" t="s">
        <v>70</v>
      </c>
      <c r="E12" t="s">
        <v>166</v>
      </c>
      <c r="F12" t="s">
        <v>166</v>
      </c>
      <c r="G12" t="s">
        <v>85</v>
      </c>
      <c r="H12" t="s">
        <v>170</v>
      </c>
      <c r="I12" t="s">
        <v>174</v>
      </c>
      <c r="J12" t="s">
        <v>89</v>
      </c>
      <c r="L12">
        <v>2.5</v>
      </c>
      <c r="M12">
        <v>5</v>
      </c>
      <c r="N12">
        <v>2.5</v>
      </c>
      <c r="O12" s="19">
        <v>0</v>
      </c>
      <c r="P12">
        <v>2.5</v>
      </c>
      <c r="Q12" t="s">
        <v>410</v>
      </c>
    </row>
    <row r="13" spans="1:17">
      <c r="A13" t="s">
        <v>322</v>
      </c>
      <c r="B13">
        <v>2</v>
      </c>
      <c r="C13" t="s">
        <v>195</v>
      </c>
      <c r="D13" t="s">
        <v>62</v>
      </c>
      <c r="E13" t="s">
        <v>166</v>
      </c>
      <c r="F13" t="s">
        <v>166</v>
      </c>
      <c r="G13" t="s">
        <v>85</v>
      </c>
      <c r="H13" t="s">
        <v>169</v>
      </c>
      <c r="I13" t="s">
        <v>173</v>
      </c>
      <c r="J13" t="s">
        <v>89</v>
      </c>
      <c r="L13">
        <v>29</v>
      </c>
      <c r="M13">
        <v>31</v>
      </c>
      <c r="N13">
        <v>2</v>
      </c>
      <c r="O13" s="19">
        <v>0</v>
      </c>
      <c r="P13">
        <v>29</v>
      </c>
      <c r="Q13" t="s">
        <v>410</v>
      </c>
    </row>
    <row r="14" spans="1:17">
      <c r="A14" t="s">
        <v>322</v>
      </c>
      <c r="B14">
        <v>2</v>
      </c>
      <c r="C14" t="s">
        <v>195</v>
      </c>
      <c r="D14" t="s">
        <v>59</v>
      </c>
      <c r="E14" t="s">
        <v>166</v>
      </c>
      <c r="F14" t="s">
        <v>166</v>
      </c>
      <c r="G14" t="s">
        <v>85</v>
      </c>
      <c r="H14" t="s">
        <v>167</v>
      </c>
      <c r="I14" t="s">
        <v>171</v>
      </c>
      <c r="J14" t="s">
        <v>89</v>
      </c>
      <c r="L14">
        <v>20.5</v>
      </c>
      <c r="M14">
        <v>29.5</v>
      </c>
      <c r="N14">
        <v>9</v>
      </c>
      <c r="O14" s="19">
        <v>0</v>
      </c>
      <c r="P14">
        <v>20.5</v>
      </c>
      <c r="Q14" t="s">
        <v>410</v>
      </c>
    </row>
    <row r="15" spans="1:17">
      <c r="A15" t="s">
        <v>322</v>
      </c>
      <c r="B15">
        <v>2</v>
      </c>
      <c r="C15" t="s">
        <v>195</v>
      </c>
      <c r="D15" t="s">
        <v>110</v>
      </c>
      <c r="E15" t="s">
        <v>180</v>
      </c>
      <c r="F15" t="s">
        <v>180</v>
      </c>
      <c r="G15" t="s">
        <v>85</v>
      </c>
      <c r="H15" t="s">
        <v>181</v>
      </c>
      <c r="I15" t="s">
        <v>180</v>
      </c>
      <c r="J15" t="s">
        <v>89</v>
      </c>
      <c r="L15">
        <v>-3.9</v>
      </c>
      <c r="M15">
        <v>30</v>
      </c>
      <c r="N15">
        <v>33.9</v>
      </c>
      <c r="O15" s="19">
        <v>0.9</v>
      </c>
      <c r="P15">
        <v>-3.9</v>
      </c>
      <c r="Q15" t="s">
        <v>410</v>
      </c>
    </row>
    <row r="16" spans="1:17">
      <c r="A16" t="s">
        <v>322</v>
      </c>
      <c r="B16">
        <v>2</v>
      </c>
      <c r="C16" t="s">
        <v>195</v>
      </c>
      <c r="D16" t="s">
        <v>111</v>
      </c>
      <c r="E16" t="s">
        <v>180</v>
      </c>
      <c r="F16" t="s">
        <v>180</v>
      </c>
      <c r="G16" t="s">
        <v>86</v>
      </c>
      <c r="H16" t="s">
        <v>181</v>
      </c>
      <c r="I16" t="s">
        <v>180</v>
      </c>
      <c r="J16" t="s">
        <v>89</v>
      </c>
      <c r="L16">
        <v>0</v>
      </c>
      <c r="M16">
        <v>0</v>
      </c>
      <c r="N16">
        <v>0</v>
      </c>
      <c r="O16" s="19">
        <v>0</v>
      </c>
      <c r="P16">
        <v>0</v>
      </c>
      <c r="Q16" t="s">
        <v>410</v>
      </c>
    </row>
    <row r="17" spans="1:17">
      <c r="A17" t="s">
        <v>323</v>
      </c>
      <c r="B17">
        <v>3</v>
      </c>
      <c r="C17" t="s">
        <v>196</v>
      </c>
      <c r="D17" t="s">
        <v>63</v>
      </c>
      <c r="E17" t="s">
        <v>166</v>
      </c>
      <c r="F17" t="s">
        <v>166</v>
      </c>
      <c r="G17" t="s">
        <v>85</v>
      </c>
      <c r="H17" t="s">
        <v>167</v>
      </c>
      <c r="I17" t="s">
        <v>171</v>
      </c>
      <c r="J17" t="s">
        <v>88</v>
      </c>
      <c r="K17" t="s">
        <v>175</v>
      </c>
      <c r="L17">
        <v>7</v>
      </c>
      <c r="M17">
        <v>13</v>
      </c>
      <c r="N17">
        <v>6</v>
      </c>
      <c r="O17" s="19">
        <v>6</v>
      </c>
      <c r="P17">
        <v>7</v>
      </c>
      <c r="Q17" t="s">
        <v>410</v>
      </c>
    </row>
    <row r="18" spans="1:17">
      <c r="A18" t="s">
        <v>323</v>
      </c>
      <c r="B18">
        <v>3</v>
      </c>
      <c r="C18" t="s">
        <v>196</v>
      </c>
      <c r="D18" t="s">
        <v>69</v>
      </c>
      <c r="E18" t="s">
        <v>166</v>
      </c>
      <c r="F18" t="s">
        <v>166</v>
      </c>
      <c r="G18" t="s">
        <v>85</v>
      </c>
      <c r="H18" t="s">
        <v>168</v>
      </c>
      <c r="I18" t="s">
        <v>172</v>
      </c>
      <c r="J18" t="s">
        <v>89</v>
      </c>
      <c r="L18">
        <v>-4.5</v>
      </c>
      <c r="M18">
        <v>3.5</v>
      </c>
      <c r="N18">
        <v>8</v>
      </c>
      <c r="O18" s="19">
        <v>0</v>
      </c>
      <c r="P18">
        <v>-4.5</v>
      </c>
      <c r="Q18" t="s">
        <v>410</v>
      </c>
    </row>
    <row r="19" spans="1:17">
      <c r="A19" t="s">
        <v>323</v>
      </c>
      <c r="B19">
        <v>3</v>
      </c>
      <c r="C19" t="s">
        <v>196</v>
      </c>
      <c r="D19" t="s">
        <v>60</v>
      </c>
      <c r="E19" t="s">
        <v>166</v>
      </c>
      <c r="F19" t="s">
        <v>166</v>
      </c>
      <c r="G19" t="s">
        <v>85</v>
      </c>
      <c r="H19" t="s">
        <v>167</v>
      </c>
      <c r="I19" t="s">
        <v>171</v>
      </c>
      <c r="J19" t="s">
        <v>88</v>
      </c>
      <c r="K19" t="s">
        <v>176</v>
      </c>
      <c r="L19">
        <v>32.5</v>
      </c>
      <c r="M19">
        <v>43</v>
      </c>
      <c r="N19">
        <v>10.5</v>
      </c>
      <c r="O19" s="19">
        <v>4</v>
      </c>
      <c r="P19">
        <v>32.5</v>
      </c>
      <c r="Q19" t="s">
        <v>410</v>
      </c>
    </row>
    <row r="20" spans="1:17">
      <c r="A20" t="s">
        <v>323</v>
      </c>
      <c r="B20">
        <v>3</v>
      </c>
      <c r="C20" t="s">
        <v>196</v>
      </c>
      <c r="D20" t="s">
        <v>61</v>
      </c>
      <c r="E20" t="s">
        <v>166</v>
      </c>
      <c r="F20" t="s">
        <v>166</v>
      </c>
      <c r="G20" t="s">
        <v>85</v>
      </c>
      <c r="H20" t="s">
        <v>169</v>
      </c>
      <c r="I20" t="s">
        <v>173</v>
      </c>
      <c r="J20" t="s">
        <v>88</v>
      </c>
      <c r="K20" t="s">
        <v>177</v>
      </c>
      <c r="L20">
        <v>15</v>
      </c>
      <c r="M20">
        <v>19.5</v>
      </c>
      <c r="N20">
        <v>4.5</v>
      </c>
      <c r="O20" s="19">
        <v>2</v>
      </c>
      <c r="P20">
        <v>15</v>
      </c>
      <c r="Q20" t="s">
        <v>410</v>
      </c>
    </row>
    <row r="21" spans="1:17">
      <c r="A21" t="s">
        <v>323</v>
      </c>
      <c r="B21">
        <v>3</v>
      </c>
      <c r="C21" t="s">
        <v>196</v>
      </c>
      <c r="D21" t="s">
        <v>68</v>
      </c>
      <c r="E21" t="s">
        <v>166</v>
      </c>
      <c r="F21" t="s">
        <v>166</v>
      </c>
      <c r="G21" t="s">
        <v>85</v>
      </c>
      <c r="H21" t="s">
        <v>170</v>
      </c>
      <c r="I21" t="s">
        <v>174</v>
      </c>
      <c r="J21" t="s">
        <v>89</v>
      </c>
      <c r="L21">
        <v>11</v>
      </c>
      <c r="M21">
        <v>18</v>
      </c>
      <c r="N21">
        <v>7</v>
      </c>
      <c r="O21" s="19">
        <v>2</v>
      </c>
      <c r="P21">
        <v>11</v>
      </c>
      <c r="Q21" t="s">
        <v>410</v>
      </c>
    </row>
    <row r="22" spans="1:17">
      <c r="A22" t="s">
        <v>323</v>
      </c>
      <c r="B22">
        <v>3</v>
      </c>
      <c r="C22" t="s">
        <v>196</v>
      </c>
      <c r="D22" t="s">
        <v>65</v>
      </c>
      <c r="E22" t="s">
        <v>166</v>
      </c>
      <c r="F22" t="s">
        <v>166</v>
      </c>
      <c r="G22" t="s">
        <v>86</v>
      </c>
      <c r="H22" t="s">
        <v>170</v>
      </c>
      <c r="I22" t="s">
        <v>174</v>
      </c>
      <c r="J22" t="s">
        <v>89</v>
      </c>
      <c r="L22">
        <v>16.5</v>
      </c>
      <c r="M22">
        <v>23.5</v>
      </c>
      <c r="N22">
        <v>7</v>
      </c>
      <c r="O22" s="19">
        <v>0</v>
      </c>
      <c r="P22">
        <v>16.5</v>
      </c>
      <c r="Q22" t="s">
        <v>410</v>
      </c>
    </row>
    <row r="23" spans="1:17">
      <c r="A23" t="s">
        <v>323</v>
      </c>
      <c r="B23">
        <v>3</v>
      </c>
      <c r="C23" t="s">
        <v>196</v>
      </c>
      <c r="D23" t="s">
        <v>64</v>
      </c>
      <c r="E23" t="s">
        <v>166</v>
      </c>
      <c r="F23" t="s">
        <v>166</v>
      </c>
      <c r="G23" t="s">
        <v>85</v>
      </c>
      <c r="H23" t="s">
        <v>168</v>
      </c>
      <c r="I23" t="s">
        <v>172</v>
      </c>
      <c r="J23" t="s">
        <v>88</v>
      </c>
      <c r="K23" t="s">
        <v>178</v>
      </c>
      <c r="L23">
        <v>0.5</v>
      </c>
      <c r="M23">
        <v>5.5</v>
      </c>
      <c r="N23">
        <v>5</v>
      </c>
      <c r="O23" s="19">
        <v>0</v>
      </c>
      <c r="P23">
        <v>0.5</v>
      </c>
      <c r="Q23" t="s">
        <v>410</v>
      </c>
    </row>
    <row r="24" spans="1:17">
      <c r="A24" t="s">
        <v>323</v>
      </c>
      <c r="B24">
        <v>3</v>
      </c>
      <c r="C24" t="s">
        <v>196</v>
      </c>
      <c r="D24" t="s">
        <v>129</v>
      </c>
      <c r="E24" t="s">
        <v>166</v>
      </c>
      <c r="F24" t="s">
        <v>166</v>
      </c>
      <c r="G24" t="s">
        <v>85</v>
      </c>
      <c r="H24" t="s">
        <v>170</v>
      </c>
      <c r="I24" t="s">
        <v>174</v>
      </c>
      <c r="J24" t="s">
        <v>89</v>
      </c>
      <c r="L24">
        <v>-2</v>
      </c>
      <c r="M24">
        <v>1</v>
      </c>
      <c r="N24">
        <v>3</v>
      </c>
      <c r="O24" s="19">
        <v>0</v>
      </c>
      <c r="P24">
        <v>-2</v>
      </c>
      <c r="Q24" t="s">
        <v>410</v>
      </c>
    </row>
    <row r="25" spans="1:17">
      <c r="A25" t="s">
        <v>323</v>
      </c>
      <c r="B25">
        <v>3</v>
      </c>
      <c r="C25" t="s">
        <v>196</v>
      </c>
      <c r="D25" t="s">
        <v>66</v>
      </c>
      <c r="E25" t="s">
        <v>166</v>
      </c>
      <c r="F25" t="s">
        <v>166</v>
      </c>
      <c r="G25" t="s">
        <v>85</v>
      </c>
      <c r="H25" t="s">
        <v>167</v>
      </c>
      <c r="I25" t="s">
        <v>171</v>
      </c>
      <c r="J25" t="s">
        <v>89</v>
      </c>
      <c r="L25">
        <v>-5</v>
      </c>
      <c r="M25">
        <v>0</v>
      </c>
      <c r="N25">
        <v>5</v>
      </c>
      <c r="O25" s="19">
        <v>0</v>
      </c>
      <c r="P25">
        <v>-5</v>
      </c>
      <c r="Q25" t="s">
        <v>410</v>
      </c>
    </row>
    <row r="26" spans="1:17">
      <c r="A26" t="s">
        <v>323</v>
      </c>
      <c r="B26">
        <v>3</v>
      </c>
      <c r="C26" t="s">
        <v>196</v>
      </c>
      <c r="D26" t="s">
        <v>70</v>
      </c>
      <c r="E26" t="s">
        <v>166</v>
      </c>
      <c r="F26" t="s">
        <v>166</v>
      </c>
      <c r="G26" t="s">
        <v>85</v>
      </c>
      <c r="H26" t="s">
        <v>170</v>
      </c>
      <c r="I26" t="s">
        <v>174</v>
      </c>
      <c r="J26" t="s">
        <v>89</v>
      </c>
      <c r="L26">
        <v>6.5</v>
      </c>
      <c r="M26">
        <v>6.5</v>
      </c>
      <c r="N26">
        <v>0</v>
      </c>
      <c r="O26" s="19">
        <v>0</v>
      </c>
      <c r="P26">
        <v>6.5</v>
      </c>
      <c r="Q26" t="s">
        <v>410</v>
      </c>
    </row>
    <row r="27" spans="1:17">
      <c r="A27" t="s">
        <v>323</v>
      </c>
      <c r="B27">
        <v>3</v>
      </c>
      <c r="C27" t="s">
        <v>196</v>
      </c>
      <c r="D27" t="s">
        <v>62</v>
      </c>
      <c r="E27" t="s">
        <v>166</v>
      </c>
      <c r="F27" t="s">
        <v>166</v>
      </c>
      <c r="G27" t="s">
        <v>85</v>
      </c>
      <c r="H27" t="s">
        <v>169</v>
      </c>
      <c r="I27" t="s">
        <v>173</v>
      </c>
      <c r="J27" t="s">
        <v>89</v>
      </c>
      <c r="L27">
        <v>4</v>
      </c>
      <c r="M27">
        <v>8.5</v>
      </c>
      <c r="N27">
        <v>4.5</v>
      </c>
      <c r="O27" s="19">
        <v>0</v>
      </c>
      <c r="P27">
        <v>4</v>
      </c>
      <c r="Q27" t="s">
        <v>410</v>
      </c>
    </row>
    <row r="28" spans="1:17">
      <c r="A28" t="s">
        <v>323</v>
      </c>
      <c r="B28">
        <v>3</v>
      </c>
      <c r="C28" t="s">
        <v>196</v>
      </c>
      <c r="D28" t="s">
        <v>59</v>
      </c>
      <c r="E28" t="s">
        <v>166</v>
      </c>
      <c r="F28" t="s">
        <v>166</v>
      </c>
      <c r="G28" t="s">
        <v>85</v>
      </c>
      <c r="H28" t="s">
        <v>167</v>
      </c>
      <c r="I28" t="s">
        <v>171</v>
      </c>
      <c r="J28" t="s">
        <v>89</v>
      </c>
      <c r="L28">
        <v>7</v>
      </c>
      <c r="M28">
        <v>20.5</v>
      </c>
      <c r="N28">
        <v>13.5</v>
      </c>
      <c r="O28" s="19">
        <v>4</v>
      </c>
      <c r="P28">
        <v>7</v>
      </c>
      <c r="Q28" t="s">
        <v>410</v>
      </c>
    </row>
    <row r="29" spans="1:17">
      <c r="A29" t="s">
        <v>323</v>
      </c>
      <c r="B29">
        <v>3</v>
      </c>
      <c r="C29" t="s">
        <v>196</v>
      </c>
      <c r="D29" t="s">
        <v>110</v>
      </c>
      <c r="E29" t="s">
        <v>180</v>
      </c>
      <c r="F29" t="s">
        <v>180</v>
      </c>
      <c r="G29" t="s">
        <v>85</v>
      </c>
      <c r="H29" t="s">
        <v>181</v>
      </c>
      <c r="I29" t="s">
        <v>180</v>
      </c>
      <c r="J29" t="s">
        <v>89</v>
      </c>
      <c r="L29">
        <v>-3</v>
      </c>
      <c r="M29">
        <v>27</v>
      </c>
      <c r="N29">
        <v>30</v>
      </c>
      <c r="O29" s="19">
        <v>0</v>
      </c>
      <c r="P29">
        <v>-3</v>
      </c>
      <c r="Q29" t="s">
        <v>410</v>
      </c>
    </row>
    <row r="30" spans="1:17">
      <c r="A30" t="s">
        <v>323</v>
      </c>
      <c r="B30">
        <v>3</v>
      </c>
      <c r="C30" t="s">
        <v>196</v>
      </c>
      <c r="D30" t="s">
        <v>111</v>
      </c>
      <c r="E30" t="s">
        <v>180</v>
      </c>
      <c r="F30" t="s">
        <v>180</v>
      </c>
      <c r="G30" t="s">
        <v>86</v>
      </c>
      <c r="H30" t="s">
        <v>181</v>
      </c>
      <c r="I30" t="s">
        <v>180</v>
      </c>
      <c r="J30" t="s">
        <v>89</v>
      </c>
      <c r="L30">
        <v>0</v>
      </c>
      <c r="M30">
        <v>0</v>
      </c>
      <c r="N30">
        <v>0</v>
      </c>
      <c r="O30" s="19">
        <v>0</v>
      </c>
      <c r="P30">
        <v>0</v>
      </c>
      <c r="Q30" t="s">
        <v>410</v>
      </c>
    </row>
    <row r="31" spans="1:17">
      <c r="A31" t="s">
        <v>324</v>
      </c>
      <c r="B31">
        <v>4</v>
      </c>
      <c r="C31" t="s">
        <v>197</v>
      </c>
      <c r="D31" t="s">
        <v>63</v>
      </c>
      <c r="E31" t="s">
        <v>166</v>
      </c>
      <c r="F31" t="s">
        <v>166</v>
      </c>
      <c r="G31" t="s">
        <v>85</v>
      </c>
      <c r="H31" t="s">
        <v>167</v>
      </c>
      <c r="I31" t="s">
        <v>171</v>
      </c>
      <c r="J31" t="s">
        <v>88</v>
      </c>
      <c r="K31" t="s">
        <v>175</v>
      </c>
      <c r="L31">
        <v>-4.5</v>
      </c>
      <c r="M31">
        <v>4</v>
      </c>
      <c r="N31">
        <v>8.5</v>
      </c>
      <c r="O31" s="19">
        <v>2</v>
      </c>
      <c r="P31">
        <v>-4.5</v>
      </c>
      <c r="Q31" t="s">
        <v>410</v>
      </c>
    </row>
    <row r="32" spans="1:17">
      <c r="A32" t="s">
        <v>324</v>
      </c>
      <c r="B32">
        <v>4</v>
      </c>
      <c r="C32" t="s">
        <v>197</v>
      </c>
      <c r="D32" t="s">
        <v>69</v>
      </c>
      <c r="E32" t="s">
        <v>166</v>
      </c>
      <c r="F32" t="s">
        <v>166</v>
      </c>
      <c r="G32" t="s">
        <v>85</v>
      </c>
      <c r="H32" t="s">
        <v>168</v>
      </c>
      <c r="I32" t="s">
        <v>172</v>
      </c>
      <c r="J32" t="s">
        <v>89</v>
      </c>
      <c r="L32">
        <v>4.5</v>
      </c>
      <c r="M32">
        <v>11.5</v>
      </c>
      <c r="N32">
        <v>7</v>
      </c>
      <c r="O32" s="19">
        <v>0</v>
      </c>
      <c r="P32">
        <v>4.5</v>
      </c>
      <c r="Q32" t="s">
        <v>410</v>
      </c>
    </row>
    <row r="33" spans="1:17">
      <c r="A33" t="s">
        <v>324</v>
      </c>
      <c r="B33">
        <v>4</v>
      </c>
      <c r="C33" t="s">
        <v>197</v>
      </c>
      <c r="D33" t="s">
        <v>60</v>
      </c>
      <c r="E33" t="s">
        <v>166</v>
      </c>
      <c r="F33" t="s">
        <v>166</v>
      </c>
      <c r="G33" t="s">
        <v>85</v>
      </c>
      <c r="H33" t="s">
        <v>167</v>
      </c>
      <c r="I33" t="s">
        <v>171</v>
      </c>
      <c r="J33" t="s">
        <v>88</v>
      </c>
      <c r="K33" t="s">
        <v>176</v>
      </c>
      <c r="L33">
        <v>14</v>
      </c>
      <c r="M33">
        <v>20</v>
      </c>
      <c r="N33">
        <v>6</v>
      </c>
      <c r="O33" s="19">
        <v>0</v>
      </c>
      <c r="P33">
        <v>14</v>
      </c>
      <c r="Q33" t="s">
        <v>410</v>
      </c>
    </row>
    <row r="34" spans="1:17">
      <c r="A34" t="s">
        <v>324</v>
      </c>
      <c r="B34">
        <v>4</v>
      </c>
      <c r="C34" t="s">
        <v>197</v>
      </c>
      <c r="D34" t="s">
        <v>61</v>
      </c>
      <c r="E34" t="s">
        <v>166</v>
      </c>
      <c r="F34" t="s">
        <v>166</v>
      </c>
      <c r="G34" t="s">
        <v>85</v>
      </c>
      <c r="H34" t="s">
        <v>169</v>
      </c>
      <c r="I34" t="s">
        <v>173</v>
      </c>
      <c r="J34" t="s">
        <v>88</v>
      </c>
      <c r="K34" t="s">
        <v>177</v>
      </c>
      <c r="L34">
        <v>3.5</v>
      </c>
      <c r="M34">
        <v>11.5</v>
      </c>
      <c r="N34">
        <v>8</v>
      </c>
      <c r="O34" s="19">
        <v>2</v>
      </c>
      <c r="P34">
        <v>3.5</v>
      </c>
      <c r="Q34" t="s">
        <v>410</v>
      </c>
    </row>
    <row r="35" spans="1:17">
      <c r="A35" t="s">
        <v>324</v>
      </c>
      <c r="B35">
        <v>4</v>
      </c>
      <c r="C35" t="s">
        <v>197</v>
      </c>
      <c r="D35" t="s">
        <v>68</v>
      </c>
      <c r="E35" t="s">
        <v>166</v>
      </c>
      <c r="F35" t="s">
        <v>166</v>
      </c>
      <c r="G35" t="s">
        <v>85</v>
      </c>
      <c r="H35" t="s">
        <v>170</v>
      </c>
      <c r="I35" t="s">
        <v>174</v>
      </c>
      <c r="J35" t="s">
        <v>89</v>
      </c>
      <c r="L35">
        <v>4</v>
      </c>
      <c r="M35">
        <v>4</v>
      </c>
      <c r="N35">
        <v>0</v>
      </c>
      <c r="O35" s="19">
        <v>0</v>
      </c>
      <c r="P35">
        <v>4</v>
      </c>
      <c r="Q35" t="s">
        <v>410</v>
      </c>
    </row>
    <row r="36" spans="1:17">
      <c r="A36" t="s">
        <v>324</v>
      </c>
      <c r="B36">
        <v>4</v>
      </c>
      <c r="C36" t="s">
        <v>197</v>
      </c>
      <c r="D36" t="s">
        <v>65</v>
      </c>
      <c r="E36" t="s">
        <v>166</v>
      </c>
      <c r="F36" t="s">
        <v>166</v>
      </c>
      <c r="G36" t="s">
        <v>86</v>
      </c>
      <c r="H36" t="s">
        <v>170</v>
      </c>
      <c r="I36" t="s">
        <v>174</v>
      </c>
      <c r="J36" t="s">
        <v>89</v>
      </c>
      <c r="L36">
        <v>5.5</v>
      </c>
      <c r="M36">
        <v>5.5</v>
      </c>
      <c r="N36">
        <v>0</v>
      </c>
      <c r="O36" s="19">
        <v>0</v>
      </c>
      <c r="P36">
        <v>5.5</v>
      </c>
      <c r="Q36" t="s">
        <v>410</v>
      </c>
    </row>
    <row r="37" spans="1:17">
      <c r="A37" t="s">
        <v>324</v>
      </c>
      <c r="B37">
        <v>4</v>
      </c>
      <c r="C37" t="s">
        <v>197</v>
      </c>
      <c r="D37" t="s">
        <v>64</v>
      </c>
      <c r="E37" t="s">
        <v>166</v>
      </c>
      <c r="F37" t="s">
        <v>166</v>
      </c>
      <c r="G37" t="s">
        <v>85</v>
      </c>
      <c r="H37" t="s">
        <v>168</v>
      </c>
      <c r="I37" t="s">
        <v>172</v>
      </c>
      <c r="J37" t="s">
        <v>88</v>
      </c>
      <c r="K37" t="s">
        <v>178</v>
      </c>
      <c r="L37">
        <v>10.5</v>
      </c>
      <c r="M37">
        <v>10.5</v>
      </c>
      <c r="N37">
        <v>0</v>
      </c>
      <c r="O37" s="19">
        <v>0</v>
      </c>
      <c r="P37">
        <v>10.5</v>
      </c>
      <c r="Q37" t="s">
        <v>410</v>
      </c>
    </row>
    <row r="38" spans="1:17">
      <c r="A38" t="s">
        <v>324</v>
      </c>
      <c r="B38">
        <v>4</v>
      </c>
      <c r="C38" t="s">
        <v>197</v>
      </c>
      <c r="D38" t="s">
        <v>71</v>
      </c>
      <c r="E38" t="s">
        <v>166</v>
      </c>
      <c r="F38" t="s">
        <v>166</v>
      </c>
      <c r="G38" t="s">
        <v>85</v>
      </c>
      <c r="H38" t="s">
        <v>170</v>
      </c>
      <c r="I38" t="s">
        <v>174</v>
      </c>
      <c r="J38" t="s">
        <v>89</v>
      </c>
      <c r="L38">
        <v>1.5</v>
      </c>
      <c r="M38">
        <v>7.5</v>
      </c>
      <c r="N38">
        <v>6</v>
      </c>
      <c r="O38" s="19">
        <v>2</v>
      </c>
      <c r="P38">
        <v>1.5</v>
      </c>
      <c r="Q38" t="s">
        <v>410</v>
      </c>
    </row>
    <row r="39" spans="1:17">
      <c r="A39" t="s">
        <v>324</v>
      </c>
      <c r="B39">
        <v>4</v>
      </c>
      <c r="C39" t="s">
        <v>197</v>
      </c>
      <c r="D39" t="s">
        <v>129</v>
      </c>
      <c r="E39" t="s">
        <v>166</v>
      </c>
      <c r="F39" t="s">
        <v>166</v>
      </c>
      <c r="G39" t="s">
        <v>85</v>
      </c>
      <c r="H39" t="s">
        <v>170</v>
      </c>
      <c r="I39" t="s">
        <v>174</v>
      </c>
      <c r="J39" t="s">
        <v>89</v>
      </c>
      <c r="L39">
        <v>0</v>
      </c>
      <c r="M39">
        <v>0</v>
      </c>
      <c r="N39">
        <v>0</v>
      </c>
      <c r="O39" s="19">
        <v>0</v>
      </c>
      <c r="P39">
        <v>0</v>
      </c>
      <c r="Q39" t="s">
        <v>410</v>
      </c>
    </row>
    <row r="40" spans="1:17">
      <c r="A40" t="s">
        <v>324</v>
      </c>
      <c r="B40">
        <v>4</v>
      </c>
      <c r="C40" t="s">
        <v>197</v>
      </c>
      <c r="D40" t="s">
        <v>66</v>
      </c>
      <c r="E40" t="s">
        <v>166</v>
      </c>
      <c r="F40" t="s">
        <v>166</v>
      </c>
      <c r="G40" t="s">
        <v>85</v>
      </c>
      <c r="H40" t="s">
        <v>167</v>
      </c>
      <c r="I40" t="s">
        <v>171</v>
      </c>
      <c r="J40" t="s">
        <v>89</v>
      </c>
      <c r="L40">
        <v>1</v>
      </c>
      <c r="M40">
        <v>5.5</v>
      </c>
      <c r="N40">
        <v>4.5</v>
      </c>
      <c r="O40" s="19">
        <v>2</v>
      </c>
      <c r="P40">
        <v>1</v>
      </c>
      <c r="Q40" t="s">
        <v>410</v>
      </c>
    </row>
    <row r="41" spans="1:17">
      <c r="A41" t="s">
        <v>324</v>
      </c>
      <c r="B41">
        <v>4</v>
      </c>
      <c r="C41" t="s">
        <v>197</v>
      </c>
      <c r="D41" t="s">
        <v>70</v>
      </c>
      <c r="E41" t="s">
        <v>166</v>
      </c>
      <c r="F41" t="s">
        <v>166</v>
      </c>
      <c r="G41" t="s">
        <v>85</v>
      </c>
      <c r="H41" t="s">
        <v>170</v>
      </c>
      <c r="I41" t="s">
        <v>174</v>
      </c>
      <c r="J41" t="s">
        <v>89</v>
      </c>
      <c r="L41">
        <v>-1</v>
      </c>
      <c r="M41">
        <v>1</v>
      </c>
      <c r="N41">
        <v>2</v>
      </c>
      <c r="O41" s="19">
        <v>2</v>
      </c>
      <c r="P41">
        <v>-1</v>
      </c>
      <c r="Q41" t="s">
        <v>410</v>
      </c>
    </row>
    <row r="42" spans="1:17">
      <c r="A42" t="s">
        <v>324</v>
      </c>
      <c r="B42">
        <v>4</v>
      </c>
      <c r="C42" t="s">
        <v>197</v>
      </c>
      <c r="D42" t="s">
        <v>62</v>
      </c>
      <c r="E42" t="s">
        <v>166</v>
      </c>
      <c r="F42" t="s">
        <v>166</v>
      </c>
      <c r="G42" t="s">
        <v>85</v>
      </c>
      <c r="H42" t="s">
        <v>169</v>
      </c>
      <c r="I42" t="s">
        <v>173</v>
      </c>
      <c r="J42" t="s">
        <v>89</v>
      </c>
      <c r="L42">
        <v>8</v>
      </c>
      <c r="M42">
        <v>12</v>
      </c>
      <c r="N42">
        <v>4</v>
      </c>
      <c r="O42" s="19">
        <v>0</v>
      </c>
      <c r="P42">
        <v>8</v>
      </c>
      <c r="Q42" t="s">
        <v>410</v>
      </c>
    </row>
    <row r="43" spans="1:17">
      <c r="A43" t="s">
        <v>324</v>
      </c>
      <c r="B43">
        <v>4</v>
      </c>
      <c r="C43" t="s">
        <v>197</v>
      </c>
      <c r="D43" t="s">
        <v>59</v>
      </c>
      <c r="E43" t="s">
        <v>166</v>
      </c>
      <c r="F43" t="s">
        <v>166</v>
      </c>
      <c r="G43" t="s">
        <v>85</v>
      </c>
      <c r="H43" t="s">
        <v>167</v>
      </c>
      <c r="I43" t="s">
        <v>171</v>
      </c>
      <c r="J43" t="s">
        <v>89</v>
      </c>
      <c r="L43">
        <v>35</v>
      </c>
      <c r="M43">
        <v>45.5</v>
      </c>
      <c r="N43">
        <v>10.5</v>
      </c>
      <c r="O43" s="19">
        <v>2</v>
      </c>
      <c r="P43">
        <v>35</v>
      </c>
      <c r="Q43" t="s">
        <v>410</v>
      </c>
    </row>
    <row r="44" spans="1:17">
      <c r="A44" t="s">
        <v>324</v>
      </c>
      <c r="B44">
        <v>4</v>
      </c>
      <c r="C44" t="s">
        <v>197</v>
      </c>
      <c r="D44" t="s">
        <v>110</v>
      </c>
      <c r="E44" t="s">
        <v>180</v>
      </c>
      <c r="F44" t="s">
        <v>180</v>
      </c>
      <c r="G44" t="s">
        <v>85</v>
      </c>
      <c r="H44" t="s">
        <v>181</v>
      </c>
      <c r="I44" t="s">
        <v>180</v>
      </c>
      <c r="J44" t="s">
        <v>89</v>
      </c>
      <c r="L44">
        <v>-7</v>
      </c>
      <c r="M44">
        <v>23</v>
      </c>
      <c r="N44">
        <v>30</v>
      </c>
      <c r="O44" s="19">
        <v>0</v>
      </c>
      <c r="P44">
        <v>-7</v>
      </c>
      <c r="Q44" t="s">
        <v>410</v>
      </c>
    </row>
    <row r="45" spans="1:17">
      <c r="A45" t="s">
        <v>324</v>
      </c>
      <c r="B45">
        <v>4</v>
      </c>
      <c r="C45" t="s">
        <v>197</v>
      </c>
      <c r="D45" t="s">
        <v>111</v>
      </c>
      <c r="E45" t="s">
        <v>180</v>
      </c>
      <c r="F45" t="s">
        <v>180</v>
      </c>
      <c r="G45" t="s">
        <v>86</v>
      </c>
      <c r="H45" t="s">
        <v>181</v>
      </c>
      <c r="I45" t="s">
        <v>180</v>
      </c>
      <c r="J45" t="s">
        <v>89</v>
      </c>
      <c r="L45">
        <v>0</v>
      </c>
      <c r="M45">
        <v>0</v>
      </c>
      <c r="N45">
        <v>0</v>
      </c>
      <c r="O45" s="19">
        <v>0</v>
      </c>
      <c r="P45">
        <v>0</v>
      </c>
      <c r="Q45" t="s">
        <v>410</v>
      </c>
    </row>
    <row r="46" spans="1:17">
      <c r="A46" t="s">
        <v>325</v>
      </c>
      <c r="B46">
        <v>5</v>
      </c>
      <c r="C46" t="s">
        <v>198</v>
      </c>
      <c r="D46" t="s">
        <v>63</v>
      </c>
      <c r="E46" t="s">
        <v>166</v>
      </c>
      <c r="F46" t="s">
        <v>166</v>
      </c>
      <c r="G46" t="s">
        <v>85</v>
      </c>
      <c r="H46" t="s">
        <v>167</v>
      </c>
      <c r="I46" t="s">
        <v>171</v>
      </c>
      <c r="J46" t="s">
        <v>88</v>
      </c>
      <c r="K46" t="s">
        <v>175</v>
      </c>
      <c r="L46">
        <v>-0.5</v>
      </c>
      <c r="M46">
        <v>8.5</v>
      </c>
      <c r="N46">
        <v>9</v>
      </c>
      <c r="O46" s="19">
        <v>2</v>
      </c>
      <c r="P46">
        <v>-0.5</v>
      </c>
      <c r="Q46" t="s">
        <v>410</v>
      </c>
    </row>
    <row r="47" spans="1:17">
      <c r="A47" t="s">
        <v>325</v>
      </c>
      <c r="B47">
        <v>5</v>
      </c>
      <c r="C47" t="s">
        <v>198</v>
      </c>
      <c r="D47" t="s">
        <v>69</v>
      </c>
      <c r="E47" t="s">
        <v>166</v>
      </c>
      <c r="F47" t="s">
        <v>166</v>
      </c>
      <c r="G47" t="s">
        <v>85</v>
      </c>
      <c r="H47" t="s">
        <v>168</v>
      </c>
      <c r="I47" t="s">
        <v>172</v>
      </c>
      <c r="J47" t="s">
        <v>89</v>
      </c>
      <c r="L47">
        <v>-6.5</v>
      </c>
      <c r="M47">
        <v>0</v>
      </c>
      <c r="N47">
        <v>6.5</v>
      </c>
      <c r="O47" s="19">
        <v>2</v>
      </c>
      <c r="P47">
        <v>-6.5</v>
      </c>
      <c r="Q47" t="s">
        <v>410</v>
      </c>
    </row>
    <row r="48" spans="1:17">
      <c r="A48" t="s">
        <v>325</v>
      </c>
      <c r="B48">
        <v>5</v>
      </c>
      <c r="C48" t="s">
        <v>198</v>
      </c>
      <c r="D48" t="s">
        <v>60</v>
      </c>
      <c r="E48" t="s">
        <v>166</v>
      </c>
      <c r="F48" t="s">
        <v>166</v>
      </c>
      <c r="G48" t="s">
        <v>85</v>
      </c>
      <c r="H48" t="s">
        <v>167</v>
      </c>
      <c r="I48" t="s">
        <v>171</v>
      </c>
      <c r="J48" t="s">
        <v>88</v>
      </c>
      <c r="K48" t="s">
        <v>176</v>
      </c>
      <c r="L48">
        <v>14</v>
      </c>
      <c r="M48">
        <v>21</v>
      </c>
      <c r="N48">
        <v>7</v>
      </c>
      <c r="O48" s="19">
        <v>0</v>
      </c>
      <c r="P48">
        <v>14</v>
      </c>
      <c r="Q48" t="s">
        <v>410</v>
      </c>
    </row>
    <row r="49" spans="1:17">
      <c r="A49" t="s">
        <v>325</v>
      </c>
      <c r="B49">
        <v>5</v>
      </c>
      <c r="C49" t="s">
        <v>198</v>
      </c>
      <c r="D49" t="s">
        <v>61</v>
      </c>
      <c r="E49" t="s">
        <v>166</v>
      </c>
      <c r="F49" t="s">
        <v>166</v>
      </c>
      <c r="G49" t="s">
        <v>85</v>
      </c>
      <c r="H49" t="s">
        <v>169</v>
      </c>
      <c r="I49" t="s">
        <v>173</v>
      </c>
      <c r="J49" t="s">
        <v>88</v>
      </c>
      <c r="K49" t="s">
        <v>177</v>
      </c>
      <c r="L49">
        <v>12.5</v>
      </c>
      <c r="M49">
        <v>14.5</v>
      </c>
      <c r="N49">
        <v>2</v>
      </c>
      <c r="O49" s="19">
        <v>2</v>
      </c>
      <c r="P49">
        <v>12.5</v>
      </c>
      <c r="Q49" t="s">
        <v>410</v>
      </c>
    </row>
    <row r="50" spans="1:17">
      <c r="A50" t="s">
        <v>325</v>
      </c>
      <c r="B50">
        <v>5</v>
      </c>
      <c r="C50" t="s">
        <v>198</v>
      </c>
      <c r="D50" t="s">
        <v>68</v>
      </c>
      <c r="E50" t="s">
        <v>166</v>
      </c>
      <c r="F50" t="s">
        <v>166</v>
      </c>
      <c r="G50" t="s">
        <v>85</v>
      </c>
      <c r="H50" t="s">
        <v>170</v>
      </c>
      <c r="I50" t="s">
        <v>174</v>
      </c>
      <c r="J50" t="s">
        <v>89</v>
      </c>
      <c r="L50">
        <v>-7.5</v>
      </c>
      <c r="M50">
        <v>3.5</v>
      </c>
      <c r="N50">
        <v>11</v>
      </c>
      <c r="O50" s="19">
        <v>4</v>
      </c>
      <c r="P50">
        <v>-7.5</v>
      </c>
      <c r="Q50" t="s">
        <v>410</v>
      </c>
    </row>
    <row r="51" spans="1:17">
      <c r="A51" t="s">
        <v>325</v>
      </c>
      <c r="B51">
        <v>5</v>
      </c>
      <c r="C51" t="s">
        <v>198</v>
      </c>
      <c r="D51" t="s">
        <v>65</v>
      </c>
      <c r="E51" t="s">
        <v>166</v>
      </c>
      <c r="F51" t="s">
        <v>166</v>
      </c>
      <c r="G51" t="s">
        <v>86</v>
      </c>
      <c r="H51" t="s">
        <v>170</v>
      </c>
      <c r="I51" t="s">
        <v>174</v>
      </c>
      <c r="J51" t="s">
        <v>89</v>
      </c>
      <c r="L51">
        <v>4.5</v>
      </c>
      <c r="M51">
        <v>8.5</v>
      </c>
      <c r="N51">
        <v>4</v>
      </c>
      <c r="O51" s="19">
        <v>2</v>
      </c>
      <c r="P51">
        <v>4.5</v>
      </c>
      <c r="Q51" t="s">
        <v>410</v>
      </c>
    </row>
    <row r="52" spans="1:17">
      <c r="A52" t="s">
        <v>325</v>
      </c>
      <c r="B52">
        <v>5</v>
      </c>
      <c r="C52" t="s">
        <v>198</v>
      </c>
      <c r="D52" t="s">
        <v>64</v>
      </c>
      <c r="E52" t="s">
        <v>166</v>
      </c>
      <c r="F52" t="s">
        <v>166</v>
      </c>
      <c r="G52" t="s">
        <v>85</v>
      </c>
      <c r="H52" t="s">
        <v>168</v>
      </c>
      <c r="I52" t="s">
        <v>172</v>
      </c>
      <c r="J52" t="s">
        <v>88</v>
      </c>
      <c r="K52" t="s">
        <v>178</v>
      </c>
      <c r="L52">
        <v>2.5</v>
      </c>
      <c r="M52">
        <v>11</v>
      </c>
      <c r="N52">
        <v>8.5</v>
      </c>
      <c r="O52" s="19">
        <v>4</v>
      </c>
      <c r="P52">
        <v>2.5</v>
      </c>
      <c r="Q52" t="s">
        <v>410</v>
      </c>
    </row>
    <row r="53" spans="1:17">
      <c r="A53" t="s">
        <v>325</v>
      </c>
      <c r="B53">
        <v>5</v>
      </c>
      <c r="C53" t="s">
        <v>198</v>
      </c>
      <c r="D53" t="s">
        <v>71</v>
      </c>
      <c r="E53" t="s">
        <v>166</v>
      </c>
      <c r="F53" t="s">
        <v>166</v>
      </c>
      <c r="G53" t="s">
        <v>85</v>
      </c>
      <c r="H53" t="s">
        <v>170</v>
      </c>
      <c r="I53" t="s">
        <v>174</v>
      </c>
      <c r="J53" t="s">
        <v>89</v>
      </c>
      <c r="L53">
        <v>-6</v>
      </c>
      <c r="M53">
        <v>0.5</v>
      </c>
      <c r="N53">
        <v>6.5</v>
      </c>
      <c r="O53" s="19">
        <v>2</v>
      </c>
      <c r="P53">
        <v>-6</v>
      </c>
      <c r="Q53" t="s">
        <v>410</v>
      </c>
    </row>
    <row r="54" spans="1:17">
      <c r="A54" t="s">
        <v>325</v>
      </c>
      <c r="B54">
        <v>5</v>
      </c>
      <c r="C54" t="s">
        <v>198</v>
      </c>
      <c r="D54" t="s">
        <v>129</v>
      </c>
      <c r="E54" t="s">
        <v>166</v>
      </c>
      <c r="F54" t="s">
        <v>166</v>
      </c>
      <c r="G54" t="s">
        <v>85</v>
      </c>
      <c r="H54" t="s">
        <v>170</v>
      </c>
      <c r="I54" t="s">
        <v>174</v>
      </c>
      <c r="J54" t="s">
        <v>89</v>
      </c>
      <c r="L54">
        <v>0</v>
      </c>
      <c r="M54">
        <v>0</v>
      </c>
      <c r="N54">
        <v>0</v>
      </c>
      <c r="O54" s="19">
        <v>0</v>
      </c>
      <c r="P54">
        <v>0</v>
      </c>
      <c r="Q54" t="s">
        <v>410</v>
      </c>
    </row>
    <row r="55" spans="1:17">
      <c r="A55" t="s">
        <v>325</v>
      </c>
      <c r="B55">
        <v>5</v>
      </c>
      <c r="C55" t="s">
        <v>198</v>
      </c>
      <c r="D55" t="s">
        <v>66</v>
      </c>
      <c r="E55" t="s">
        <v>166</v>
      </c>
      <c r="F55" t="s">
        <v>166</v>
      </c>
      <c r="G55" t="s">
        <v>85</v>
      </c>
      <c r="H55" t="s">
        <v>167</v>
      </c>
      <c r="I55" t="s">
        <v>171</v>
      </c>
      <c r="J55" t="s">
        <v>89</v>
      </c>
      <c r="L55">
        <v>2.5</v>
      </c>
      <c r="M55">
        <v>2.5</v>
      </c>
      <c r="N55">
        <v>0</v>
      </c>
      <c r="O55" s="19">
        <v>0</v>
      </c>
      <c r="P55">
        <v>2.5</v>
      </c>
      <c r="Q55" t="s">
        <v>410</v>
      </c>
    </row>
    <row r="56" spans="1:17">
      <c r="A56" t="s">
        <v>325</v>
      </c>
      <c r="B56">
        <v>5</v>
      </c>
      <c r="C56" t="s">
        <v>198</v>
      </c>
      <c r="D56" t="s">
        <v>70</v>
      </c>
      <c r="E56" t="s">
        <v>166</v>
      </c>
      <c r="F56" t="s">
        <v>166</v>
      </c>
      <c r="G56" t="s">
        <v>85</v>
      </c>
      <c r="H56" t="s">
        <v>170</v>
      </c>
      <c r="I56" t="s">
        <v>174</v>
      </c>
      <c r="J56" t="s">
        <v>89</v>
      </c>
      <c r="L56">
        <v>10.5</v>
      </c>
      <c r="M56">
        <v>12.5</v>
      </c>
      <c r="N56">
        <v>2</v>
      </c>
      <c r="O56" s="19">
        <v>0</v>
      </c>
      <c r="P56">
        <v>10.5</v>
      </c>
      <c r="Q56" t="s">
        <v>410</v>
      </c>
    </row>
    <row r="57" spans="1:17">
      <c r="A57" t="s">
        <v>325</v>
      </c>
      <c r="B57">
        <v>5</v>
      </c>
      <c r="C57" t="s">
        <v>198</v>
      </c>
      <c r="D57" t="s">
        <v>62</v>
      </c>
      <c r="E57" t="s">
        <v>166</v>
      </c>
      <c r="F57" t="s">
        <v>166</v>
      </c>
      <c r="G57" t="s">
        <v>85</v>
      </c>
      <c r="H57" t="s">
        <v>169</v>
      </c>
      <c r="I57" t="s">
        <v>173</v>
      </c>
      <c r="J57" t="s">
        <v>89</v>
      </c>
      <c r="L57">
        <v>16</v>
      </c>
      <c r="M57">
        <v>24</v>
      </c>
      <c r="N57">
        <v>8</v>
      </c>
      <c r="O57" s="19">
        <v>2</v>
      </c>
      <c r="P57">
        <v>16</v>
      </c>
      <c r="Q57" t="s">
        <v>410</v>
      </c>
    </row>
    <row r="58" spans="1:17">
      <c r="A58" t="s">
        <v>325</v>
      </c>
      <c r="B58">
        <v>5</v>
      </c>
      <c r="C58" t="s">
        <v>198</v>
      </c>
      <c r="D58" t="s">
        <v>59</v>
      </c>
      <c r="E58" t="s">
        <v>166</v>
      </c>
      <c r="F58" t="s">
        <v>166</v>
      </c>
      <c r="G58" t="s">
        <v>85</v>
      </c>
      <c r="H58" t="s">
        <v>167</v>
      </c>
      <c r="I58" t="s">
        <v>171</v>
      </c>
      <c r="J58" t="s">
        <v>89</v>
      </c>
      <c r="L58">
        <v>20.5</v>
      </c>
      <c r="M58">
        <v>32.5</v>
      </c>
      <c r="N58">
        <v>12</v>
      </c>
      <c r="O58" s="19">
        <v>6</v>
      </c>
      <c r="P58">
        <v>20.5</v>
      </c>
      <c r="Q58" t="s">
        <v>410</v>
      </c>
    </row>
    <row r="59" spans="1:17">
      <c r="A59" t="s">
        <v>325</v>
      </c>
      <c r="B59">
        <v>5</v>
      </c>
      <c r="C59" t="s">
        <v>198</v>
      </c>
      <c r="D59" t="s">
        <v>110</v>
      </c>
      <c r="E59" t="s">
        <v>180</v>
      </c>
      <c r="F59" t="s">
        <v>180</v>
      </c>
      <c r="G59" t="s">
        <v>85</v>
      </c>
      <c r="H59" t="s">
        <v>181</v>
      </c>
      <c r="I59" t="s">
        <v>180</v>
      </c>
      <c r="J59" t="s">
        <v>89</v>
      </c>
      <c r="L59">
        <v>-19</v>
      </c>
      <c r="M59">
        <v>15</v>
      </c>
      <c r="N59">
        <v>34</v>
      </c>
      <c r="O59" s="19">
        <v>4</v>
      </c>
      <c r="P59">
        <v>-19</v>
      </c>
      <c r="Q59" t="s">
        <v>410</v>
      </c>
    </row>
    <row r="60" spans="1:17">
      <c r="A60" t="s">
        <v>325</v>
      </c>
      <c r="B60">
        <v>5</v>
      </c>
      <c r="C60" t="s">
        <v>198</v>
      </c>
      <c r="D60" t="s">
        <v>111</v>
      </c>
      <c r="E60" t="s">
        <v>180</v>
      </c>
      <c r="F60" t="s">
        <v>180</v>
      </c>
      <c r="G60" t="s">
        <v>86</v>
      </c>
      <c r="H60" t="s">
        <v>181</v>
      </c>
      <c r="I60" t="s">
        <v>180</v>
      </c>
      <c r="J60" t="s">
        <v>89</v>
      </c>
      <c r="L60">
        <v>3</v>
      </c>
      <c r="M60">
        <v>12</v>
      </c>
      <c r="N60">
        <v>9</v>
      </c>
      <c r="O60" s="19">
        <v>0</v>
      </c>
      <c r="P60">
        <v>3</v>
      </c>
      <c r="Q60" t="s">
        <v>410</v>
      </c>
    </row>
    <row r="61" spans="1:17">
      <c r="A61" t="s">
        <v>326</v>
      </c>
      <c r="B61">
        <v>6</v>
      </c>
      <c r="C61" t="s">
        <v>199</v>
      </c>
      <c r="D61" t="s">
        <v>69</v>
      </c>
      <c r="E61" t="s">
        <v>166</v>
      </c>
      <c r="F61" t="s">
        <v>166</v>
      </c>
      <c r="G61" t="s">
        <v>85</v>
      </c>
      <c r="H61" t="s">
        <v>168</v>
      </c>
      <c r="I61" t="s">
        <v>172</v>
      </c>
      <c r="J61" t="s">
        <v>89</v>
      </c>
      <c r="L61">
        <v>-6.5</v>
      </c>
      <c r="M61">
        <v>3</v>
      </c>
      <c r="N61">
        <v>9.5</v>
      </c>
      <c r="O61" s="19">
        <v>0</v>
      </c>
      <c r="P61">
        <v>-6.5</v>
      </c>
      <c r="Q61" t="s">
        <v>410</v>
      </c>
    </row>
    <row r="62" spans="1:17">
      <c r="A62" t="s">
        <v>326</v>
      </c>
      <c r="B62">
        <v>6</v>
      </c>
      <c r="C62" t="s">
        <v>199</v>
      </c>
      <c r="D62" t="s">
        <v>60</v>
      </c>
      <c r="E62" t="s">
        <v>166</v>
      </c>
      <c r="F62" t="s">
        <v>166</v>
      </c>
      <c r="G62" t="s">
        <v>85</v>
      </c>
      <c r="H62" t="s">
        <v>167</v>
      </c>
      <c r="I62" t="s">
        <v>171</v>
      </c>
      <c r="J62" t="s">
        <v>88</v>
      </c>
      <c r="K62" t="s">
        <v>176</v>
      </c>
      <c r="L62">
        <v>1.5</v>
      </c>
      <c r="M62">
        <v>14.5</v>
      </c>
      <c r="N62">
        <v>13</v>
      </c>
      <c r="O62" s="19">
        <v>4</v>
      </c>
      <c r="P62">
        <v>1.5</v>
      </c>
      <c r="Q62" t="s">
        <v>410</v>
      </c>
    </row>
    <row r="63" spans="1:17">
      <c r="A63" t="s">
        <v>326</v>
      </c>
      <c r="B63">
        <v>6</v>
      </c>
      <c r="C63" t="s">
        <v>199</v>
      </c>
      <c r="D63" t="s">
        <v>61</v>
      </c>
      <c r="E63" t="s">
        <v>166</v>
      </c>
      <c r="F63" t="s">
        <v>166</v>
      </c>
      <c r="G63" t="s">
        <v>85</v>
      </c>
      <c r="H63" t="s">
        <v>169</v>
      </c>
      <c r="I63" t="s">
        <v>173</v>
      </c>
      <c r="J63" t="s">
        <v>88</v>
      </c>
      <c r="K63" t="s">
        <v>177</v>
      </c>
      <c r="L63">
        <v>11</v>
      </c>
      <c r="M63">
        <v>17</v>
      </c>
      <c r="N63">
        <v>6</v>
      </c>
      <c r="O63" s="19">
        <v>4</v>
      </c>
      <c r="P63">
        <v>11</v>
      </c>
      <c r="Q63" t="s">
        <v>410</v>
      </c>
    </row>
    <row r="64" spans="1:17">
      <c r="A64" t="s">
        <v>326</v>
      </c>
      <c r="B64">
        <v>6</v>
      </c>
      <c r="C64" t="s">
        <v>199</v>
      </c>
      <c r="D64" t="s">
        <v>68</v>
      </c>
      <c r="E64" t="s">
        <v>166</v>
      </c>
      <c r="F64" t="s">
        <v>166</v>
      </c>
      <c r="G64" t="s">
        <v>85</v>
      </c>
      <c r="H64" t="s">
        <v>170</v>
      </c>
      <c r="I64" t="s">
        <v>174</v>
      </c>
      <c r="J64" t="s">
        <v>89</v>
      </c>
      <c r="L64">
        <v>-6</v>
      </c>
      <c r="M64">
        <v>0</v>
      </c>
      <c r="N64">
        <v>6</v>
      </c>
      <c r="O64" s="19">
        <v>0</v>
      </c>
      <c r="P64">
        <v>-6</v>
      </c>
      <c r="Q64" t="s">
        <v>410</v>
      </c>
    </row>
    <row r="65" spans="1:17">
      <c r="A65" t="s">
        <v>326</v>
      </c>
      <c r="B65">
        <v>6</v>
      </c>
      <c r="C65" t="s">
        <v>199</v>
      </c>
      <c r="D65" t="s">
        <v>65</v>
      </c>
      <c r="E65" t="s">
        <v>166</v>
      </c>
      <c r="F65" t="s">
        <v>166</v>
      </c>
      <c r="G65" t="s">
        <v>86</v>
      </c>
      <c r="H65" t="s">
        <v>170</v>
      </c>
      <c r="I65" t="s">
        <v>174</v>
      </c>
      <c r="J65" t="s">
        <v>89</v>
      </c>
      <c r="L65">
        <v>6</v>
      </c>
      <c r="M65">
        <v>14.5</v>
      </c>
      <c r="N65">
        <v>8.5</v>
      </c>
      <c r="O65" s="19">
        <v>2</v>
      </c>
      <c r="P65">
        <v>6</v>
      </c>
      <c r="Q65" t="s">
        <v>410</v>
      </c>
    </row>
    <row r="66" spans="1:17">
      <c r="A66" t="s">
        <v>326</v>
      </c>
      <c r="B66">
        <v>6</v>
      </c>
      <c r="C66" t="s">
        <v>199</v>
      </c>
      <c r="D66" t="s">
        <v>64</v>
      </c>
      <c r="E66" t="s">
        <v>166</v>
      </c>
      <c r="F66" t="s">
        <v>166</v>
      </c>
      <c r="G66" t="s">
        <v>85</v>
      </c>
      <c r="H66" t="s">
        <v>168</v>
      </c>
      <c r="I66" t="s">
        <v>172</v>
      </c>
      <c r="J66" t="s">
        <v>88</v>
      </c>
      <c r="K66" t="s">
        <v>178</v>
      </c>
      <c r="L66">
        <v>-11</v>
      </c>
      <c r="M66">
        <v>2.5</v>
      </c>
      <c r="N66">
        <v>13.5</v>
      </c>
      <c r="O66" s="19">
        <v>2</v>
      </c>
      <c r="P66">
        <v>-11</v>
      </c>
      <c r="Q66" t="s">
        <v>410</v>
      </c>
    </row>
    <row r="67" spans="1:17">
      <c r="A67" t="s">
        <v>326</v>
      </c>
      <c r="B67">
        <v>6</v>
      </c>
      <c r="C67" t="s">
        <v>199</v>
      </c>
      <c r="D67" t="s">
        <v>129</v>
      </c>
      <c r="E67" t="s">
        <v>166</v>
      </c>
      <c r="F67" t="s">
        <v>166</v>
      </c>
      <c r="G67" t="s">
        <v>85</v>
      </c>
      <c r="H67" t="s">
        <v>170</v>
      </c>
      <c r="I67" t="s">
        <v>174</v>
      </c>
      <c r="J67" t="s">
        <v>89</v>
      </c>
      <c r="L67">
        <v>-2</v>
      </c>
      <c r="M67">
        <v>0</v>
      </c>
      <c r="N67">
        <v>2</v>
      </c>
      <c r="O67" s="19">
        <v>2</v>
      </c>
      <c r="P67">
        <v>-2</v>
      </c>
      <c r="Q67" t="s">
        <v>410</v>
      </c>
    </row>
    <row r="68" spans="1:17">
      <c r="A68" t="s">
        <v>326</v>
      </c>
      <c r="B68">
        <v>6</v>
      </c>
      <c r="C68" t="s">
        <v>199</v>
      </c>
      <c r="D68" t="s">
        <v>66</v>
      </c>
      <c r="E68" t="s">
        <v>166</v>
      </c>
      <c r="F68" t="s">
        <v>166</v>
      </c>
      <c r="G68" t="s">
        <v>85</v>
      </c>
      <c r="H68" t="s">
        <v>167</v>
      </c>
      <c r="I68" t="s">
        <v>171</v>
      </c>
      <c r="J68" t="s">
        <v>89</v>
      </c>
      <c r="L68">
        <v>-5</v>
      </c>
      <c r="M68">
        <v>1.5</v>
      </c>
      <c r="N68">
        <v>6.5</v>
      </c>
      <c r="O68" s="19">
        <v>2</v>
      </c>
      <c r="P68">
        <v>-5</v>
      </c>
      <c r="Q68" t="s">
        <v>410</v>
      </c>
    </row>
    <row r="69" spans="1:17">
      <c r="A69" t="s">
        <v>326</v>
      </c>
      <c r="B69">
        <v>6</v>
      </c>
      <c r="C69" t="s">
        <v>199</v>
      </c>
      <c r="D69" t="s">
        <v>70</v>
      </c>
      <c r="E69" t="s">
        <v>166</v>
      </c>
      <c r="F69" t="s">
        <v>166</v>
      </c>
      <c r="G69" t="s">
        <v>85</v>
      </c>
      <c r="H69" t="s">
        <v>170</v>
      </c>
      <c r="I69" t="s">
        <v>174</v>
      </c>
      <c r="J69" t="s">
        <v>89</v>
      </c>
      <c r="L69">
        <v>-7</v>
      </c>
      <c r="M69">
        <v>0</v>
      </c>
      <c r="N69">
        <v>7</v>
      </c>
      <c r="O69" s="19">
        <v>2</v>
      </c>
      <c r="P69">
        <v>-7</v>
      </c>
      <c r="Q69" t="s">
        <v>410</v>
      </c>
    </row>
    <row r="70" spans="1:17">
      <c r="A70" t="s">
        <v>326</v>
      </c>
      <c r="B70">
        <v>6</v>
      </c>
      <c r="C70" t="s">
        <v>199</v>
      </c>
      <c r="D70" t="s">
        <v>62</v>
      </c>
      <c r="E70" t="s">
        <v>166</v>
      </c>
      <c r="F70" t="s">
        <v>166</v>
      </c>
      <c r="G70" t="s">
        <v>85</v>
      </c>
      <c r="H70" t="s">
        <v>169</v>
      </c>
      <c r="I70" t="s">
        <v>173</v>
      </c>
      <c r="J70" t="s">
        <v>89</v>
      </c>
      <c r="L70">
        <v>11.5</v>
      </c>
      <c r="M70">
        <v>22</v>
      </c>
      <c r="N70">
        <v>10.5</v>
      </c>
      <c r="O70" s="19">
        <v>2</v>
      </c>
      <c r="P70">
        <v>11.5</v>
      </c>
      <c r="Q70" t="s">
        <v>410</v>
      </c>
    </row>
    <row r="71" spans="1:17">
      <c r="A71" t="s">
        <v>326</v>
      </c>
      <c r="B71">
        <v>6</v>
      </c>
      <c r="C71" t="s">
        <v>199</v>
      </c>
      <c r="D71" t="s">
        <v>59</v>
      </c>
      <c r="E71" t="s">
        <v>166</v>
      </c>
      <c r="F71" t="s">
        <v>166</v>
      </c>
      <c r="G71" t="s">
        <v>85</v>
      </c>
      <c r="H71" t="s">
        <v>167</v>
      </c>
      <c r="I71" t="s">
        <v>171</v>
      </c>
      <c r="J71" t="s">
        <v>89</v>
      </c>
      <c r="L71">
        <v>11</v>
      </c>
      <c r="M71">
        <v>25.5</v>
      </c>
      <c r="N71">
        <v>14.5</v>
      </c>
      <c r="O71" s="19">
        <v>6</v>
      </c>
      <c r="P71">
        <v>11</v>
      </c>
      <c r="Q71" t="s">
        <v>410</v>
      </c>
    </row>
    <row r="72" spans="1:17">
      <c r="A72" t="s">
        <v>326</v>
      </c>
      <c r="B72">
        <v>6</v>
      </c>
      <c r="C72" t="s">
        <v>199</v>
      </c>
      <c r="D72" t="s">
        <v>110</v>
      </c>
      <c r="E72" t="s">
        <v>180</v>
      </c>
      <c r="F72" t="s">
        <v>180</v>
      </c>
      <c r="G72" t="s">
        <v>85</v>
      </c>
      <c r="H72" t="s">
        <v>181</v>
      </c>
      <c r="I72" t="s">
        <v>180</v>
      </c>
      <c r="J72" t="s">
        <v>89</v>
      </c>
      <c r="L72">
        <v>-9</v>
      </c>
      <c r="M72">
        <v>17</v>
      </c>
      <c r="N72">
        <v>26</v>
      </c>
      <c r="O72" s="19">
        <v>2</v>
      </c>
      <c r="P72">
        <v>-9</v>
      </c>
      <c r="Q72" t="s">
        <v>410</v>
      </c>
    </row>
    <row r="73" spans="1:17">
      <c r="A73" t="s">
        <v>326</v>
      </c>
      <c r="B73">
        <v>6</v>
      </c>
      <c r="C73" t="s">
        <v>199</v>
      </c>
      <c r="D73" t="s">
        <v>111</v>
      </c>
      <c r="E73" t="s">
        <v>180</v>
      </c>
      <c r="F73" t="s">
        <v>180</v>
      </c>
      <c r="G73" t="s">
        <v>86</v>
      </c>
      <c r="H73" t="s">
        <v>181</v>
      </c>
      <c r="I73" t="s">
        <v>180</v>
      </c>
      <c r="J73" t="s">
        <v>89</v>
      </c>
      <c r="L73">
        <v>-9</v>
      </c>
      <c r="M73">
        <v>6</v>
      </c>
      <c r="N73">
        <v>15</v>
      </c>
      <c r="O73" s="19">
        <v>0</v>
      </c>
      <c r="P73">
        <v>-9</v>
      </c>
      <c r="Q73" t="s">
        <v>410</v>
      </c>
    </row>
    <row r="74" spans="1:17">
      <c r="A74" t="s">
        <v>327</v>
      </c>
      <c r="B74">
        <v>7</v>
      </c>
      <c r="C74" t="s">
        <v>200</v>
      </c>
      <c r="D74" t="s">
        <v>63</v>
      </c>
      <c r="E74" t="s">
        <v>166</v>
      </c>
      <c r="F74" t="s">
        <v>166</v>
      </c>
      <c r="G74" t="s">
        <v>85</v>
      </c>
      <c r="H74" t="s">
        <v>167</v>
      </c>
      <c r="I74" t="s">
        <v>171</v>
      </c>
      <c r="J74" t="s">
        <v>88</v>
      </c>
      <c r="K74" t="s">
        <v>175</v>
      </c>
      <c r="L74">
        <v>-2.5</v>
      </c>
      <c r="M74">
        <v>3.5</v>
      </c>
      <c r="N74">
        <v>6</v>
      </c>
      <c r="O74" s="19">
        <v>4</v>
      </c>
      <c r="P74">
        <v>-2.5</v>
      </c>
      <c r="Q74" t="s">
        <v>410</v>
      </c>
    </row>
    <row r="75" spans="1:17">
      <c r="A75" t="s">
        <v>327</v>
      </c>
      <c r="B75">
        <v>7</v>
      </c>
      <c r="C75" t="s">
        <v>200</v>
      </c>
      <c r="D75" t="s">
        <v>69</v>
      </c>
      <c r="E75" t="s">
        <v>166</v>
      </c>
      <c r="F75" t="s">
        <v>166</v>
      </c>
      <c r="G75" t="s">
        <v>85</v>
      </c>
      <c r="H75" t="s">
        <v>168</v>
      </c>
      <c r="I75" t="s">
        <v>172</v>
      </c>
      <c r="J75" t="s">
        <v>89</v>
      </c>
      <c r="L75">
        <v>3</v>
      </c>
      <c r="M75">
        <v>9</v>
      </c>
      <c r="N75">
        <v>6</v>
      </c>
      <c r="O75" s="19">
        <v>4</v>
      </c>
      <c r="P75">
        <v>3</v>
      </c>
      <c r="Q75" t="s">
        <v>410</v>
      </c>
    </row>
    <row r="76" spans="1:17">
      <c r="A76" t="s">
        <v>327</v>
      </c>
      <c r="B76">
        <v>7</v>
      </c>
      <c r="C76" t="s">
        <v>200</v>
      </c>
      <c r="D76" t="s">
        <v>60</v>
      </c>
      <c r="E76" t="s">
        <v>166</v>
      </c>
      <c r="F76" t="s">
        <v>166</v>
      </c>
      <c r="G76" t="s">
        <v>85</v>
      </c>
      <c r="H76" t="s">
        <v>167</v>
      </c>
      <c r="I76" t="s">
        <v>171</v>
      </c>
      <c r="J76" t="s">
        <v>88</v>
      </c>
      <c r="K76" t="s">
        <v>176</v>
      </c>
      <c r="L76">
        <v>16</v>
      </c>
      <c r="M76">
        <v>24.5</v>
      </c>
      <c r="N76">
        <v>8.5</v>
      </c>
      <c r="O76" s="19">
        <v>4</v>
      </c>
      <c r="P76">
        <v>16</v>
      </c>
      <c r="Q76" t="s">
        <v>410</v>
      </c>
    </row>
    <row r="77" spans="1:17">
      <c r="A77" t="s">
        <v>327</v>
      </c>
      <c r="B77">
        <v>7</v>
      </c>
      <c r="C77" t="s">
        <v>200</v>
      </c>
      <c r="D77" t="s">
        <v>61</v>
      </c>
      <c r="E77" t="s">
        <v>166</v>
      </c>
      <c r="F77" t="s">
        <v>166</v>
      </c>
      <c r="G77" t="s">
        <v>85</v>
      </c>
      <c r="H77" t="s">
        <v>169</v>
      </c>
      <c r="I77" t="s">
        <v>173</v>
      </c>
      <c r="J77" t="s">
        <v>88</v>
      </c>
      <c r="K77" t="s">
        <v>177</v>
      </c>
      <c r="L77">
        <v>-4.5</v>
      </c>
      <c r="M77">
        <v>8.5</v>
      </c>
      <c r="N77">
        <v>13</v>
      </c>
      <c r="O77" s="19">
        <v>6</v>
      </c>
      <c r="P77">
        <v>-4.5</v>
      </c>
      <c r="Q77" t="s">
        <v>410</v>
      </c>
    </row>
    <row r="78" spans="1:17">
      <c r="A78" t="s">
        <v>327</v>
      </c>
      <c r="B78">
        <v>7</v>
      </c>
      <c r="C78" t="s">
        <v>200</v>
      </c>
      <c r="D78" t="s">
        <v>68</v>
      </c>
      <c r="E78" t="s">
        <v>166</v>
      </c>
      <c r="F78" t="s">
        <v>166</v>
      </c>
      <c r="G78" t="s">
        <v>85</v>
      </c>
      <c r="H78" t="s">
        <v>170</v>
      </c>
      <c r="I78" t="s">
        <v>174</v>
      </c>
      <c r="J78" t="s">
        <v>89</v>
      </c>
      <c r="L78">
        <v>8.5</v>
      </c>
      <c r="M78">
        <v>16.5</v>
      </c>
      <c r="N78">
        <v>8</v>
      </c>
      <c r="O78" s="19">
        <v>2</v>
      </c>
      <c r="P78">
        <v>8.5</v>
      </c>
      <c r="Q78" t="s">
        <v>410</v>
      </c>
    </row>
    <row r="79" spans="1:17">
      <c r="A79" t="s">
        <v>327</v>
      </c>
      <c r="B79">
        <v>7</v>
      </c>
      <c r="C79" t="s">
        <v>200</v>
      </c>
      <c r="D79" t="s">
        <v>65</v>
      </c>
      <c r="E79" t="s">
        <v>166</v>
      </c>
      <c r="F79" t="s">
        <v>166</v>
      </c>
      <c r="G79" t="s">
        <v>86</v>
      </c>
      <c r="H79" t="s">
        <v>170</v>
      </c>
      <c r="I79" t="s">
        <v>174</v>
      </c>
      <c r="J79" t="s">
        <v>89</v>
      </c>
      <c r="L79">
        <v>12.5</v>
      </c>
      <c r="M79">
        <v>16.5</v>
      </c>
      <c r="N79">
        <v>4</v>
      </c>
      <c r="O79" s="19">
        <v>2</v>
      </c>
      <c r="P79">
        <v>12.5</v>
      </c>
      <c r="Q79" t="s">
        <v>410</v>
      </c>
    </row>
    <row r="80" spans="1:17">
      <c r="A80" t="s">
        <v>327</v>
      </c>
      <c r="B80">
        <v>7</v>
      </c>
      <c r="C80" t="s">
        <v>200</v>
      </c>
      <c r="D80" t="s">
        <v>64</v>
      </c>
      <c r="E80" t="s">
        <v>166</v>
      </c>
      <c r="F80" t="s">
        <v>166</v>
      </c>
      <c r="G80" t="s">
        <v>85</v>
      </c>
      <c r="H80" t="s">
        <v>168</v>
      </c>
      <c r="I80" t="s">
        <v>172</v>
      </c>
      <c r="J80" t="s">
        <v>88</v>
      </c>
      <c r="K80" t="s">
        <v>178</v>
      </c>
      <c r="L80">
        <v>18</v>
      </c>
      <c r="M80">
        <v>29.5</v>
      </c>
      <c r="N80">
        <v>11.5</v>
      </c>
      <c r="O80" s="19">
        <v>2</v>
      </c>
      <c r="P80">
        <v>18</v>
      </c>
      <c r="Q80" t="s">
        <v>410</v>
      </c>
    </row>
    <row r="81" spans="1:17">
      <c r="A81" t="s">
        <v>327</v>
      </c>
      <c r="B81">
        <v>7</v>
      </c>
      <c r="C81" t="s">
        <v>200</v>
      </c>
      <c r="D81" t="s">
        <v>129</v>
      </c>
      <c r="E81" t="s">
        <v>166</v>
      </c>
      <c r="F81" t="s">
        <v>166</v>
      </c>
      <c r="G81" t="s">
        <v>85</v>
      </c>
      <c r="H81" t="s">
        <v>170</v>
      </c>
      <c r="I81" t="s">
        <v>174</v>
      </c>
      <c r="J81" t="s">
        <v>89</v>
      </c>
      <c r="L81">
        <v>0</v>
      </c>
      <c r="M81">
        <v>0</v>
      </c>
      <c r="N81">
        <v>0</v>
      </c>
      <c r="O81" s="19">
        <v>0</v>
      </c>
      <c r="P81">
        <v>0</v>
      </c>
      <c r="Q81" t="s">
        <v>410</v>
      </c>
    </row>
    <row r="82" spans="1:17">
      <c r="A82" t="s">
        <v>327</v>
      </c>
      <c r="B82">
        <v>7</v>
      </c>
      <c r="C82" t="s">
        <v>200</v>
      </c>
      <c r="D82" t="s">
        <v>66</v>
      </c>
      <c r="E82" t="s">
        <v>166</v>
      </c>
      <c r="F82" t="s">
        <v>166</v>
      </c>
      <c r="G82" t="s">
        <v>85</v>
      </c>
      <c r="H82" t="s">
        <v>167</v>
      </c>
      <c r="I82" t="s">
        <v>171</v>
      </c>
      <c r="J82" t="s">
        <v>89</v>
      </c>
      <c r="L82">
        <v>0.5</v>
      </c>
      <c r="M82">
        <v>6.5</v>
      </c>
      <c r="N82">
        <v>6</v>
      </c>
      <c r="O82" s="19">
        <v>4</v>
      </c>
      <c r="P82">
        <v>0.5</v>
      </c>
      <c r="Q82" t="s">
        <v>410</v>
      </c>
    </row>
    <row r="83" spans="1:17">
      <c r="A83" t="s">
        <v>327</v>
      </c>
      <c r="B83">
        <v>7</v>
      </c>
      <c r="C83" t="s">
        <v>200</v>
      </c>
      <c r="D83" t="s">
        <v>70</v>
      </c>
      <c r="E83" t="s">
        <v>166</v>
      </c>
      <c r="F83" t="s">
        <v>166</v>
      </c>
      <c r="G83" t="s">
        <v>85</v>
      </c>
      <c r="H83" t="s">
        <v>170</v>
      </c>
      <c r="I83" t="s">
        <v>174</v>
      </c>
      <c r="J83" t="s">
        <v>89</v>
      </c>
      <c r="L83">
        <v>8</v>
      </c>
      <c r="M83">
        <v>8</v>
      </c>
      <c r="N83">
        <v>0</v>
      </c>
      <c r="O83" s="19">
        <v>0</v>
      </c>
      <c r="P83">
        <v>8</v>
      </c>
      <c r="Q83" t="s">
        <v>410</v>
      </c>
    </row>
    <row r="84" spans="1:17">
      <c r="A84" t="s">
        <v>327</v>
      </c>
      <c r="B84">
        <v>7</v>
      </c>
      <c r="C84" t="s">
        <v>200</v>
      </c>
      <c r="D84" t="s">
        <v>62</v>
      </c>
      <c r="E84" t="s">
        <v>166</v>
      </c>
      <c r="F84" t="s">
        <v>166</v>
      </c>
      <c r="G84" t="s">
        <v>85</v>
      </c>
      <c r="H84" t="s">
        <v>169</v>
      </c>
      <c r="I84" t="s">
        <v>173</v>
      </c>
      <c r="J84" t="s">
        <v>89</v>
      </c>
      <c r="L84">
        <v>-3.5</v>
      </c>
      <c r="M84">
        <v>0.5</v>
      </c>
      <c r="N84">
        <v>4</v>
      </c>
      <c r="O84" s="19">
        <v>2</v>
      </c>
      <c r="P84">
        <v>-3.5</v>
      </c>
      <c r="Q84" t="s">
        <v>410</v>
      </c>
    </row>
    <row r="85" spans="1:17">
      <c r="A85" t="s">
        <v>327</v>
      </c>
      <c r="B85">
        <v>7</v>
      </c>
      <c r="C85" t="s">
        <v>200</v>
      </c>
      <c r="D85" t="s">
        <v>59</v>
      </c>
      <c r="E85" t="s">
        <v>166</v>
      </c>
      <c r="F85" t="s">
        <v>166</v>
      </c>
      <c r="G85" t="s">
        <v>85</v>
      </c>
      <c r="H85" t="s">
        <v>167</v>
      </c>
      <c r="I85" t="s">
        <v>171</v>
      </c>
      <c r="J85" t="s">
        <v>89</v>
      </c>
      <c r="L85">
        <v>2</v>
      </c>
      <c r="M85">
        <v>19</v>
      </c>
      <c r="N85">
        <v>17</v>
      </c>
      <c r="O85" s="19">
        <v>4</v>
      </c>
      <c r="P85">
        <v>2</v>
      </c>
      <c r="Q85" t="s">
        <v>410</v>
      </c>
    </row>
    <row r="86" spans="1:17">
      <c r="A86" t="s">
        <v>327</v>
      </c>
      <c r="B86">
        <v>7</v>
      </c>
      <c r="C86" t="s">
        <v>200</v>
      </c>
      <c r="D86" t="s">
        <v>110</v>
      </c>
      <c r="E86" t="s">
        <v>180</v>
      </c>
      <c r="F86" t="s">
        <v>180</v>
      </c>
      <c r="G86" t="s">
        <v>85</v>
      </c>
      <c r="H86" t="s">
        <v>181</v>
      </c>
      <c r="I86" t="s">
        <v>180</v>
      </c>
      <c r="J86" t="s">
        <v>89</v>
      </c>
      <c r="L86">
        <v>6</v>
      </c>
      <c r="M86">
        <v>39</v>
      </c>
      <c r="N86">
        <v>33</v>
      </c>
      <c r="O86" s="19">
        <v>0</v>
      </c>
      <c r="P86">
        <v>6</v>
      </c>
      <c r="Q86" t="s">
        <v>410</v>
      </c>
    </row>
    <row r="87" spans="1:17">
      <c r="A87" t="s">
        <v>327</v>
      </c>
      <c r="B87">
        <v>7</v>
      </c>
      <c r="C87" t="s">
        <v>200</v>
      </c>
      <c r="D87" t="s">
        <v>111</v>
      </c>
      <c r="E87" t="s">
        <v>180</v>
      </c>
      <c r="F87" t="s">
        <v>180</v>
      </c>
      <c r="G87" t="s">
        <v>86</v>
      </c>
      <c r="H87" t="s">
        <v>181</v>
      </c>
      <c r="I87" t="s">
        <v>180</v>
      </c>
      <c r="J87" t="s">
        <v>89</v>
      </c>
      <c r="L87">
        <v>0</v>
      </c>
      <c r="M87">
        <v>0</v>
      </c>
      <c r="N87">
        <v>0</v>
      </c>
      <c r="O87" s="19">
        <v>0</v>
      </c>
      <c r="P87">
        <v>0</v>
      </c>
      <c r="Q87" t="s">
        <v>410</v>
      </c>
    </row>
    <row r="88" spans="1:17">
      <c r="A88" t="s">
        <v>328</v>
      </c>
      <c r="B88">
        <v>8</v>
      </c>
      <c r="C88" t="s">
        <v>201</v>
      </c>
      <c r="D88" t="s">
        <v>63</v>
      </c>
      <c r="E88" t="s">
        <v>166</v>
      </c>
      <c r="F88" t="s">
        <v>166</v>
      </c>
      <c r="G88" t="s">
        <v>85</v>
      </c>
      <c r="H88" t="s">
        <v>167</v>
      </c>
      <c r="I88" t="s">
        <v>171</v>
      </c>
      <c r="J88" t="s">
        <v>88</v>
      </c>
      <c r="K88" t="s">
        <v>175</v>
      </c>
      <c r="L88">
        <v>16</v>
      </c>
      <c r="M88">
        <v>20</v>
      </c>
      <c r="N88">
        <v>4</v>
      </c>
      <c r="O88" s="19">
        <v>0</v>
      </c>
      <c r="P88">
        <v>16</v>
      </c>
      <c r="Q88" t="s">
        <v>410</v>
      </c>
    </row>
    <row r="89" spans="1:17">
      <c r="A89" t="s">
        <v>328</v>
      </c>
      <c r="B89">
        <v>8</v>
      </c>
      <c r="C89" t="s">
        <v>201</v>
      </c>
      <c r="D89" t="s">
        <v>69</v>
      </c>
      <c r="E89" t="s">
        <v>166</v>
      </c>
      <c r="F89" t="s">
        <v>166</v>
      </c>
      <c r="G89" t="s">
        <v>85</v>
      </c>
      <c r="H89" t="s">
        <v>168</v>
      </c>
      <c r="I89" t="s">
        <v>172</v>
      </c>
      <c r="J89" t="s">
        <v>89</v>
      </c>
      <c r="L89">
        <v>-4.5</v>
      </c>
      <c r="M89">
        <v>0</v>
      </c>
      <c r="N89">
        <v>4.5</v>
      </c>
      <c r="O89" s="19">
        <v>2</v>
      </c>
      <c r="P89">
        <v>-4.5</v>
      </c>
      <c r="Q89" t="s">
        <v>410</v>
      </c>
    </row>
    <row r="90" spans="1:17">
      <c r="A90" t="s">
        <v>328</v>
      </c>
      <c r="B90">
        <v>8</v>
      </c>
      <c r="C90" t="s">
        <v>201</v>
      </c>
      <c r="D90" t="s">
        <v>60</v>
      </c>
      <c r="E90" t="s">
        <v>166</v>
      </c>
      <c r="F90" t="s">
        <v>166</v>
      </c>
      <c r="G90" t="s">
        <v>85</v>
      </c>
      <c r="H90" t="s">
        <v>167</v>
      </c>
      <c r="I90" t="s">
        <v>171</v>
      </c>
      <c r="J90" t="s">
        <v>88</v>
      </c>
      <c r="K90" t="s">
        <v>176</v>
      </c>
      <c r="L90">
        <v>-3</v>
      </c>
      <c r="M90">
        <v>9</v>
      </c>
      <c r="N90">
        <v>12</v>
      </c>
      <c r="O90" s="19">
        <v>4</v>
      </c>
      <c r="P90">
        <v>-3</v>
      </c>
      <c r="Q90" t="s">
        <v>410</v>
      </c>
    </row>
    <row r="91" spans="1:17">
      <c r="A91" t="s">
        <v>328</v>
      </c>
      <c r="B91">
        <v>8</v>
      </c>
      <c r="C91" t="s">
        <v>201</v>
      </c>
      <c r="D91" t="s">
        <v>61</v>
      </c>
      <c r="E91" t="s">
        <v>166</v>
      </c>
      <c r="F91" t="s">
        <v>166</v>
      </c>
      <c r="G91" t="s">
        <v>85</v>
      </c>
      <c r="H91" t="s">
        <v>169</v>
      </c>
      <c r="I91" t="s">
        <v>173</v>
      </c>
      <c r="J91" t="s">
        <v>88</v>
      </c>
      <c r="K91" t="s">
        <v>177</v>
      </c>
      <c r="L91">
        <v>20.5</v>
      </c>
      <c r="M91">
        <v>27</v>
      </c>
      <c r="N91">
        <v>6.5</v>
      </c>
      <c r="O91" s="19">
        <v>2</v>
      </c>
      <c r="P91">
        <v>20.5</v>
      </c>
      <c r="Q91" t="s">
        <v>410</v>
      </c>
    </row>
    <row r="92" spans="1:17">
      <c r="A92" t="s">
        <v>328</v>
      </c>
      <c r="B92">
        <v>8</v>
      </c>
      <c r="C92" t="s">
        <v>201</v>
      </c>
      <c r="D92" t="s">
        <v>68</v>
      </c>
      <c r="E92" t="s">
        <v>166</v>
      </c>
      <c r="F92" t="s">
        <v>166</v>
      </c>
      <c r="G92" t="s">
        <v>85</v>
      </c>
      <c r="H92" t="s">
        <v>170</v>
      </c>
      <c r="I92" t="s">
        <v>174</v>
      </c>
      <c r="J92" t="s">
        <v>89</v>
      </c>
      <c r="L92">
        <v>15.5</v>
      </c>
      <c r="M92">
        <v>22.5</v>
      </c>
      <c r="N92">
        <v>7</v>
      </c>
      <c r="O92" s="19">
        <v>0</v>
      </c>
      <c r="P92">
        <v>15.5</v>
      </c>
      <c r="Q92" t="s">
        <v>410</v>
      </c>
    </row>
    <row r="93" spans="1:17">
      <c r="A93" t="s">
        <v>328</v>
      </c>
      <c r="B93">
        <v>8</v>
      </c>
      <c r="C93" t="s">
        <v>201</v>
      </c>
      <c r="D93" t="s">
        <v>65</v>
      </c>
      <c r="E93" t="s">
        <v>166</v>
      </c>
      <c r="F93" t="s">
        <v>166</v>
      </c>
      <c r="G93" t="s">
        <v>86</v>
      </c>
      <c r="H93" t="s">
        <v>170</v>
      </c>
      <c r="I93" t="s">
        <v>174</v>
      </c>
      <c r="J93" t="s">
        <v>89</v>
      </c>
      <c r="L93">
        <v>-4</v>
      </c>
      <c r="M93">
        <v>0</v>
      </c>
      <c r="N93">
        <v>4</v>
      </c>
      <c r="O93" s="19">
        <v>0</v>
      </c>
      <c r="P93">
        <v>-4</v>
      </c>
      <c r="Q93" t="s">
        <v>410</v>
      </c>
    </row>
    <row r="94" spans="1:17">
      <c r="A94" t="s">
        <v>328</v>
      </c>
      <c r="B94">
        <v>8</v>
      </c>
      <c r="C94" t="s">
        <v>201</v>
      </c>
      <c r="D94" t="s">
        <v>64</v>
      </c>
      <c r="E94" t="s">
        <v>166</v>
      </c>
      <c r="F94" t="s">
        <v>166</v>
      </c>
      <c r="G94" t="s">
        <v>85</v>
      </c>
      <c r="H94" t="s">
        <v>168</v>
      </c>
      <c r="I94" t="s">
        <v>172</v>
      </c>
      <c r="J94" t="s">
        <v>88</v>
      </c>
      <c r="K94" t="s">
        <v>178</v>
      </c>
      <c r="L94">
        <v>6.5</v>
      </c>
      <c r="M94">
        <v>19.5</v>
      </c>
      <c r="N94">
        <v>13</v>
      </c>
      <c r="O94" s="19">
        <v>4</v>
      </c>
      <c r="P94">
        <v>6.5</v>
      </c>
      <c r="Q94" t="s">
        <v>410</v>
      </c>
    </row>
    <row r="95" spans="1:17">
      <c r="A95" t="s">
        <v>328</v>
      </c>
      <c r="B95">
        <v>8</v>
      </c>
      <c r="C95" t="s">
        <v>201</v>
      </c>
      <c r="D95" t="s">
        <v>71</v>
      </c>
      <c r="E95" t="s">
        <v>166</v>
      </c>
      <c r="F95" t="s">
        <v>166</v>
      </c>
      <c r="G95" t="s">
        <v>85</v>
      </c>
      <c r="H95" t="s">
        <v>170</v>
      </c>
      <c r="I95" t="s">
        <v>174</v>
      </c>
      <c r="J95" t="s">
        <v>89</v>
      </c>
      <c r="L95">
        <v>18.5</v>
      </c>
      <c r="M95">
        <v>20.5</v>
      </c>
      <c r="N95">
        <v>2</v>
      </c>
      <c r="O95" s="19">
        <v>0</v>
      </c>
      <c r="P95">
        <v>18.5</v>
      </c>
      <c r="Q95" t="s">
        <v>410</v>
      </c>
    </row>
    <row r="96" spans="1:17">
      <c r="A96" t="s">
        <v>328</v>
      </c>
      <c r="B96">
        <v>8</v>
      </c>
      <c r="C96" t="s">
        <v>201</v>
      </c>
      <c r="D96" t="s">
        <v>66</v>
      </c>
      <c r="E96" t="s">
        <v>166</v>
      </c>
      <c r="F96" t="s">
        <v>166</v>
      </c>
      <c r="G96" t="s">
        <v>85</v>
      </c>
      <c r="H96" t="s">
        <v>167</v>
      </c>
      <c r="I96" t="s">
        <v>171</v>
      </c>
      <c r="J96" t="s">
        <v>89</v>
      </c>
      <c r="L96">
        <v>9.5</v>
      </c>
      <c r="M96">
        <v>11.5</v>
      </c>
      <c r="N96">
        <v>2</v>
      </c>
      <c r="O96" s="19">
        <v>2</v>
      </c>
      <c r="P96">
        <v>9.5</v>
      </c>
      <c r="Q96" t="s">
        <v>410</v>
      </c>
    </row>
    <row r="97" spans="1:17">
      <c r="A97" t="s">
        <v>328</v>
      </c>
      <c r="B97">
        <v>8</v>
      </c>
      <c r="C97" t="s">
        <v>201</v>
      </c>
      <c r="D97" t="s">
        <v>70</v>
      </c>
      <c r="E97" t="s">
        <v>166</v>
      </c>
      <c r="F97" t="s">
        <v>166</v>
      </c>
      <c r="G97" t="s">
        <v>85</v>
      </c>
      <c r="H97" t="s">
        <v>170</v>
      </c>
      <c r="I97" t="s">
        <v>174</v>
      </c>
      <c r="J97" t="s">
        <v>89</v>
      </c>
      <c r="L97">
        <v>-1.5</v>
      </c>
      <c r="M97">
        <v>0.5</v>
      </c>
      <c r="N97">
        <v>2</v>
      </c>
      <c r="O97" s="19">
        <v>2</v>
      </c>
      <c r="P97">
        <v>-1.5</v>
      </c>
      <c r="Q97" t="s">
        <v>410</v>
      </c>
    </row>
    <row r="98" spans="1:17">
      <c r="A98" t="s">
        <v>328</v>
      </c>
      <c r="B98">
        <v>8</v>
      </c>
      <c r="C98" t="s">
        <v>201</v>
      </c>
      <c r="D98" t="s">
        <v>62</v>
      </c>
      <c r="E98" t="s">
        <v>166</v>
      </c>
      <c r="F98" t="s">
        <v>166</v>
      </c>
      <c r="G98" t="s">
        <v>85</v>
      </c>
      <c r="H98" t="s">
        <v>169</v>
      </c>
      <c r="I98" t="s">
        <v>173</v>
      </c>
      <c r="J98" t="s">
        <v>89</v>
      </c>
      <c r="L98">
        <v>-2</v>
      </c>
      <c r="M98">
        <v>0</v>
      </c>
      <c r="N98">
        <v>2</v>
      </c>
      <c r="O98" s="19">
        <v>0</v>
      </c>
      <c r="P98">
        <v>-2</v>
      </c>
      <c r="Q98" t="s">
        <v>410</v>
      </c>
    </row>
    <row r="99" spans="1:17">
      <c r="A99" t="s">
        <v>328</v>
      </c>
      <c r="B99">
        <v>8</v>
      </c>
      <c r="C99" t="s">
        <v>201</v>
      </c>
      <c r="D99" t="s">
        <v>59</v>
      </c>
      <c r="E99" t="s">
        <v>166</v>
      </c>
      <c r="F99" t="s">
        <v>166</v>
      </c>
      <c r="G99" t="s">
        <v>85</v>
      </c>
      <c r="H99" t="s">
        <v>167</v>
      </c>
      <c r="I99" t="s">
        <v>171</v>
      </c>
      <c r="J99" t="s">
        <v>89</v>
      </c>
      <c r="L99">
        <v>10</v>
      </c>
      <c r="M99">
        <v>16</v>
      </c>
      <c r="N99">
        <v>6</v>
      </c>
      <c r="O99" s="19">
        <v>4</v>
      </c>
      <c r="P99">
        <v>10</v>
      </c>
      <c r="Q99" t="s">
        <v>410</v>
      </c>
    </row>
    <row r="100" spans="1:17">
      <c r="A100" t="s">
        <v>328</v>
      </c>
      <c r="B100">
        <v>8</v>
      </c>
      <c r="C100" t="s">
        <v>201</v>
      </c>
      <c r="D100" t="s">
        <v>109</v>
      </c>
      <c r="E100" t="s">
        <v>180</v>
      </c>
      <c r="F100" t="s">
        <v>180</v>
      </c>
      <c r="G100" t="s">
        <v>85</v>
      </c>
      <c r="H100" t="s">
        <v>181</v>
      </c>
      <c r="I100" t="s">
        <v>180</v>
      </c>
      <c r="J100" t="s">
        <v>89</v>
      </c>
      <c r="L100">
        <v>0</v>
      </c>
      <c r="M100">
        <v>0</v>
      </c>
      <c r="N100">
        <v>0</v>
      </c>
      <c r="O100" s="19">
        <v>0</v>
      </c>
      <c r="P100">
        <v>0</v>
      </c>
      <c r="Q100" t="s">
        <v>410</v>
      </c>
    </row>
    <row r="101" spans="1:17">
      <c r="A101" t="s">
        <v>328</v>
      </c>
      <c r="B101">
        <v>8</v>
      </c>
      <c r="C101" t="s">
        <v>201</v>
      </c>
      <c r="D101" t="s">
        <v>111</v>
      </c>
      <c r="E101" t="s">
        <v>180</v>
      </c>
      <c r="F101" t="s">
        <v>180</v>
      </c>
      <c r="G101" t="s">
        <v>86</v>
      </c>
      <c r="H101" t="s">
        <v>181</v>
      </c>
      <c r="I101" t="s">
        <v>180</v>
      </c>
      <c r="J101" t="s">
        <v>89</v>
      </c>
      <c r="L101">
        <v>3</v>
      </c>
      <c r="M101">
        <v>30</v>
      </c>
      <c r="N101">
        <v>27</v>
      </c>
      <c r="O101" s="19">
        <v>0</v>
      </c>
      <c r="P101">
        <v>3</v>
      </c>
      <c r="Q101" t="s">
        <v>410</v>
      </c>
    </row>
    <row r="102" spans="1:17">
      <c r="A102" t="s">
        <v>329</v>
      </c>
      <c r="B102">
        <v>9</v>
      </c>
      <c r="C102" t="s">
        <v>202</v>
      </c>
      <c r="D102" t="s">
        <v>63</v>
      </c>
      <c r="E102" t="s">
        <v>166</v>
      </c>
      <c r="F102" t="s">
        <v>166</v>
      </c>
      <c r="G102" t="s">
        <v>85</v>
      </c>
      <c r="H102" t="s">
        <v>167</v>
      </c>
      <c r="I102" t="s">
        <v>171</v>
      </c>
      <c r="J102" t="s">
        <v>88</v>
      </c>
      <c r="K102" t="s">
        <v>175</v>
      </c>
      <c r="L102">
        <v>7</v>
      </c>
      <c r="M102">
        <v>13.5</v>
      </c>
      <c r="N102">
        <v>6.5</v>
      </c>
      <c r="O102" s="19">
        <v>4</v>
      </c>
      <c r="P102">
        <v>7</v>
      </c>
      <c r="Q102" t="s">
        <v>410</v>
      </c>
    </row>
    <row r="103" spans="1:17">
      <c r="A103" t="s">
        <v>329</v>
      </c>
      <c r="B103">
        <v>9</v>
      </c>
      <c r="C103" t="s">
        <v>202</v>
      </c>
      <c r="D103" t="s">
        <v>69</v>
      </c>
      <c r="E103" t="s">
        <v>166</v>
      </c>
      <c r="F103" t="s">
        <v>166</v>
      </c>
      <c r="G103" t="s">
        <v>85</v>
      </c>
      <c r="H103" t="s">
        <v>168</v>
      </c>
      <c r="I103" t="s">
        <v>172</v>
      </c>
      <c r="J103" t="s">
        <v>89</v>
      </c>
      <c r="L103">
        <v>-1.5</v>
      </c>
      <c r="M103">
        <v>1</v>
      </c>
      <c r="N103">
        <v>2.5</v>
      </c>
      <c r="O103" s="19">
        <v>0</v>
      </c>
      <c r="P103">
        <v>-1.5</v>
      </c>
      <c r="Q103" t="s">
        <v>410</v>
      </c>
    </row>
    <row r="104" spans="1:17">
      <c r="A104" t="s">
        <v>329</v>
      </c>
      <c r="B104">
        <v>9</v>
      </c>
      <c r="C104" t="s">
        <v>202</v>
      </c>
      <c r="D104" t="s">
        <v>60</v>
      </c>
      <c r="E104" t="s">
        <v>166</v>
      </c>
      <c r="F104" t="s">
        <v>166</v>
      </c>
      <c r="G104" t="s">
        <v>85</v>
      </c>
      <c r="H104" t="s">
        <v>167</v>
      </c>
      <c r="I104" t="s">
        <v>171</v>
      </c>
      <c r="J104" t="s">
        <v>88</v>
      </c>
      <c r="K104" t="s">
        <v>176</v>
      </c>
      <c r="L104">
        <v>3</v>
      </c>
      <c r="M104">
        <v>13.5</v>
      </c>
      <c r="N104">
        <v>10.5</v>
      </c>
      <c r="O104" s="19">
        <v>4</v>
      </c>
      <c r="P104">
        <v>3</v>
      </c>
      <c r="Q104" t="s">
        <v>410</v>
      </c>
    </row>
    <row r="105" spans="1:17">
      <c r="A105" t="s">
        <v>329</v>
      </c>
      <c r="B105">
        <v>9</v>
      </c>
      <c r="C105" t="s">
        <v>202</v>
      </c>
      <c r="D105" t="s">
        <v>61</v>
      </c>
      <c r="E105" t="s">
        <v>166</v>
      </c>
      <c r="F105" t="s">
        <v>166</v>
      </c>
      <c r="G105" t="s">
        <v>85</v>
      </c>
      <c r="H105" t="s">
        <v>169</v>
      </c>
      <c r="I105" t="s">
        <v>173</v>
      </c>
      <c r="J105" t="s">
        <v>88</v>
      </c>
      <c r="K105" t="s">
        <v>177</v>
      </c>
      <c r="L105">
        <v>15</v>
      </c>
      <c r="M105">
        <v>22</v>
      </c>
      <c r="N105">
        <v>7</v>
      </c>
      <c r="O105" s="19">
        <v>2</v>
      </c>
      <c r="P105">
        <v>15</v>
      </c>
      <c r="Q105" t="s">
        <v>410</v>
      </c>
    </row>
    <row r="106" spans="1:17">
      <c r="A106" t="s">
        <v>329</v>
      </c>
      <c r="B106">
        <v>9</v>
      </c>
      <c r="C106" t="s">
        <v>202</v>
      </c>
      <c r="D106" t="s">
        <v>68</v>
      </c>
      <c r="E106" t="s">
        <v>166</v>
      </c>
      <c r="F106" t="s">
        <v>166</v>
      </c>
      <c r="G106" t="s">
        <v>85</v>
      </c>
      <c r="H106" t="s">
        <v>170</v>
      </c>
      <c r="I106" t="s">
        <v>174</v>
      </c>
      <c r="J106" t="s">
        <v>89</v>
      </c>
      <c r="L106">
        <v>-6.5</v>
      </c>
      <c r="M106">
        <v>0.5</v>
      </c>
      <c r="N106">
        <v>7</v>
      </c>
      <c r="O106" s="19">
        <v>2</v>
      </c>
      <c r="P106">
        <v>-6.5</v>
      </c>
      <c r="Q106" t="s">
        <v>410</v>
      </c>
    </row>
    <row r="107" spans="1:17">
      <c r="A107" t="s">
        <v>329</v>
      </c>
      <c r="B107">
        <v>9</v>
      </c>
      <c r="C107" t="s">
        <v>202</v>
      </c>
      <c r="D107" t="s">
        <v>65</v>
      </c>
      <c r="E107" t="s">
        <v>166</v>
      </c>
      <c r="F107" t="s">
        <v>166</v>
      </c>
      <c r="G107" t="s">
        <v>86</v>
      </c>
      <c r="H107" t="s">
        <v>170</v>
      </c>
      <c r="I107" t="s">
        <v>174</v>
      </c>
      <c r="J107" t="s">
        <v>89</v>
      </c>
      <c r="L107">
        <v>6</v>
      </c>
      <c r="M107">
        <v>8</v>
      </c>
      <c r="N107">
        <v>2</v>
      </c>
      <c r="O107" s="19">
        <v>0</v>
      </c>
      <c r="P107">
        <v>6</v>
      </c>
      <c r="Q107" t="s">
        <v>410</v>
      </c>
    </row>
    <row r="108" spans="1:17">
      <c r="A108" t="s">
        <v>329</v>
      </c>
      <c r="B108">
        <v>9</v>
      </c>
      <c r="C108" t="s">
        <v>202</v>
      </c>
      <c r="D108" t="s">
        <v>64</v>
      </c>
      <c r="E108" t="s">
        <v>166</v>
      </c>
      <c r="F108" t="s">
        <v>166</v>
      </c>
      <c r="G108" t="s">
        <v>85</v>
      </c>
      <c r="H108" t="s">
        <v>168</v>
      </c>
      <c r="I108" t="s">
        <v>172</v>
      </c>
      <c r="J108" t="s">
        <v>88</v>
      </c>
      <c r="K108" t="s">
        <v>178</v>
      </c>
      <c r="L108">
        <v>11.5</v>
      </c>
      <c r="M108">
        <v>17.5</v>
      </c>
      <c r="N108">
        <v>6</v>
      </c>
      <c r="O108" s="19">
        <v>2</v>
      </c>
      <c r="P108">
        <v>11.5</v>
      </c>
      <c r="Q108" t="s">
        <v>410</v>
      </c>
    </row>
    <row r="109" spans="1:17">
      <c r="A109" t="s">
        <v>329</v>
      </c>
      <c r="B109">
        <v>9</v>
      </c>
      <c r="C109" t="s">
        <v>202</v>
      </c>
      <c r="D109" t="s">
        <v>71</v>
      </c>
      <c r="E109" t="s">
        <v>166</v>
      </c>
      <c r="F109" t="s">
        <v>166</v>
      </c>
      <c r="G109" t="s">
        <v>85</v>
      </c>
      <c r="H109" t="s">
        <v>170</v>
      </c>
      <c r="I109" t="s">
        <v>174</v>
      </c>
      <c r="J109" t="s">
        <v>89</v>
      </c>
      <c r="L109">
        <v>-0.5</v>
      </c>
      <c r="M109">
        <v>2</v>
      </c>
      <c r="N109">
        <v>2.5</v>
      </c>
      <c r="O109" s="19">
        <v>0</v>
      </c>
      <c r="P109">
        <v>-0.5</v>
      </c>
      <c r="Q109" t="s">
        <v>410</v>
      </c>
    </row>
    <row r="110" spans="1:17">
      <c r="A110" t="s">
        <v>329</v>
      </c>
      <c r="B110">
        <v>9</v>
      </c>
      <c r="C110" t="s">
        <v>202</v>
      </c>
      <c r="D110" t="s">
        <v>66</v>
      </c>
      <c r="E110" t="s">
        <v>166</v>
      </c>
      <c r="F110" t="s">
        <v>166</v>
      </c>
      <c r="G110" t="s">
        <v>85</v>
      </c>
      <c r="H110" t="s">
        <v>167</v>
      </c>
      <c r="I110" t="s">
        <v>171</v>
      </c>
      <c r="J110" t="s">
        <v>89</v>
      </c>
      <c r="L110">
        <v>2.5</v>
      </c>
      <c r="M110">
        <v>11.5</v>
      </c>
      <c r="N110">
        <v>9</v>
      </c>
      <c r="O110" s="19">
        <v>4</v>
      </c>
      <c r="P110">
        <v>2.5</v>
      </c>
      <c r="Q110" t="s">
        <v>410</v>
      </c>
    </row>
    <row r="111" spans="1:17">
      <c r="A111" t="s">
        <v>329</v>
      </c>
      <c r="B111">
        <v>9</v>
      </c>
      <c r="C111" t="s">
        <v>202</v>
      </c>
      <c r="D111" t="s">
        <v>70</v>
      </c>
      <c r="E111" t="s">
        <v>166</v>
      </c>
      <c r="F111" t="s">
        <v>166</v>
      </c>
      <c r="G111" t="s">
        <v>85</v>
      </c>
      <c r="H111" t="s">
        <v>170</v>
      </c>
      <c r="I111" t="s">
        <v>174</v>
      </c>
      <c r="J111" t="s">
        <v>89</v>
      </c>
      <c r="L111">
        <v>0</v>
      </c>
      <c r="M111">
        <v>0</v>
      </c>
      <c r="N111">
        <v>0</v>
      </c>
      <c r="O111" s="19">
        <v>0</v>
      </c>
      <c r="P111">
        <v>0</v>
      </c>
      <c r="Q111" t="s">
        <v>410</v>
      </c>
    </row>
    <row r="112" spans="1:17">
      <c r="A112" t="s">
        <v>329</v>
      </c>
      <c r="B112">
        <v>9</v>
      </c>
      <c r="C112" t="s">
        <v>202</v>
      </c>
      <c r="D112" t="s">
        <v>62</v>
      </c>
      <c r="E112" t="s">
        <v>166</v>
      </c>
      <c r="F112" t="s">
        <v>166</v>
      </c>
      <c r="G112" t="s">
        <v>85</v>
      </c>
      <c r="H112" t="s">
        <v>169</v>
      </c>
      <c r="I112" t="s">
        <v>173</v>
      </c>
      <c r="J112" t="s">
        <v>89</v>
      </c>
      <c r="L112">
        <v>6</v>
      </c>
      <c r="M112">
        <v>8</v>
      </c>
      <c r="N112">
        <v>2</v>
      </c>
      <c r="O112" s="19">
        <v>2</v>
      </c>
      <c r="P112">
        <v>6</v>
      </c>
      <c r="Q112" t="s">
        <v>410</v>
      </c>
    </row>
    <row r="113" spans="1:17">
      <c r="A113" t="s">
        <v>329</v>
      </c>
      <c r="B113">
        <v>9</v>
      </c>
      <c r="C113" t="s">
        <v>202</v>
      </c>
      <c r="D113" t="s">
        <v>59</v>
      </c>
      <c r="E113" t="s">
        <v>166</v>
      </c>
      <c r="F113" t="s">
        <v>166</v>
      </c>
      <c r="G113" t="s">
        <v>85</v>
      </c>
      <c r="H113" t="s">
        <v>167</v>
      </c>
      <c r="I113" t="s">
        <v>171</v>
      </c>
      <c r="J113" t="s">
        <v>89</v>
      </c>
      <c r="L113">
        <v>9</v>
      </c>
      <c r="M113">
        <v>11</v>
      </c>
      <c r="N113">
        <v>2</v>
      </c>
      <c r="O113" s="19">
        <v>2</v>
      </c>
      <c r="P113">
        <v>9</v>
      </c>
      <c r="Q113" t="s">
        <v>410</v>
      </c>
    </row>
    <row r="114" spans="1:17">
      <c r="A114" t="s">
        <v>329</v>
      </c>
      <c r="B114">
        <v>9</v>
      </c>
      <c r="C114" t="s">
        <v>202</v>
      </c>
      <c r="D114" t="s">
        <v>110</v>
      </c>
      <c r="E114" t="s">
        <v>180</v>
      </c>
      <c r="F114" t="s">
        <v>180</v>
      </c>
      <c r="G114" t="s">
        <v>85</v>
      </c>
      <c r="H114" t="s">
        <v>181</v>
      </c>
      <c r="I114" t="s">
        <v>180</v>
      </c>
      <c r="J114" t="s">
        <v>89</v>
      </c>
      <c r="L114">
        <v>-11</v>
      </c>
      <c r="M114">
        <v>0</v>
      </c>
      <c r="N114">
        <v>11</v>
      </c>
      <c r="O114" s="19">
        <v>2</v>
      </c>
      <c r="P114">
        <v>-11</v>
      </c>
      <c r="Q114" t="s">
        <v>410</v>
      </c>
    </row>
    <row r="115" spans="1:17">
      <c r="A115" t="s">
        <v>329</v>
      </c>
      <c r="B115">
        <v>9</v>
      </c>
      <c r="C115" t="s">
        <v>202</v>
      </c>
      <c r="D115" t="s">
        <v>111</v>
      </c>
      <c r="E115" t="s">
        <v>180</v>
      </c>
      <c r="F115" t="s">
        <v>180</v>
      </c>
      <c r="G115" t="s">
        <v>86</v>
      </c>
      <c r="H115" t="s">
        <v>181</v>
      </c>
      <c r="I115" t="s">
        <v>180</v>
      </c>
      <c r="J115" t="s">
        <v>89</v>
      </c>
      <c r="L115">
        <v>1</v>
      </c>
      <c r="M115">
        <v>24</v>
      </c>
      <c r="N115">
        <v>23</v>
      </c>
      <c r="O115" s="19">
        <v>2</v>
      </c>
      <c r="P115">
        <v>1</v>
      </c>
      <c r="Q115" t="s">
        <v>410</v>
      </c>
    </row>
    <row r="116" spans="1:17">
      <c r="A116" t="s">
        <v>330</v>
      </c>
      <c r="B116">
        <v>10</v>
      </c>
      <c r="C116" t="s">
        <v>206</v>
      </c>
      <c r="D116" t="s">
        <v>63</v>
      </c>
      <c r="E116" t="s">
        <v>166</v>
      </c>
      <c r="F116" t="s">
        <v>166</v>
      </c>
      <c r="G116" t="s">
        <v>85</v>
      </c>
      <c r="H116" t="s">
        <v>167</v>
      </c>
      <c r="I116" t="s">
        <v>171</v>
      </c>
      <c r="J116" t="s">
        <v>88</v>
      </c>
      <c r="K116" t="s">
        <v>175</v>
      </c>
      <c r="L116">
        <v>13.5</v>
      </c>
      <c r="M116">
        <v>19.5</v>
      </c>
      <c r="N116">
        <v>6</v>
      </c>
      <c r="O116" s="19">
        <v>2</v>
      </c>
      <c r="P116">
        <v>13.5</v>
      </c>
      <c r="Q116" t="s">
        <v>410</v>
      </c>
    </row>
    <row r="117" spans="1:17">
      <c r="A117" t="s">
        <v>330</v>
      </c>
      <c r="B117">
        <v>10</v>
      </c>
      <c r="C117" t="s">
        <v>206</v>
      </c>
      <c r="D117" t="s">
        <v>69</v>
      </c>
      <c r="E117" t="s">
        <v>166</v>
      </c>
      <c r="F117" t="s">
        <v>166</v>
      </c>
      <c r="G117" t="s">
        <v>85</v>
      </c>
      <c r="H117" t="s">
        <v>168</v>
      </c>
      <c r="I117" t="s">
        <v>172</v>
      </c>
      <c r="J117" t="s">
        <v>89</v>
      </c>
      <c r="L117">
        <v>-0.5</v>
      </c>
      <c r="M117">
        <v>6.5</v>
      </c>
      <c r="N117">
        <v>7</v>
      </c>
      <c r="O117" s="19">
        <v>0</v>
      </c>
      <c r="P117">
        <v>-0.5</v>
      </c>
      <c r="Q117" t="s">
        <v>410</v>
      </c>
    </row>
    <row r="118" spans="1:17">
      <c r="A118" t="s">
        <v>330</v>
      </c>
      <c r="B118">
        <v>10</v>
      </c>
      <c r="C118" t="s">
        <v>206</v>
      </c>
      <c r="D118" t="s">
        <v>60</v>
      </c>
      <c r="E118" t="s">
        <v>166</v>
      </c>
      <c r="F118" t="s">
        <v>166</v>
      </c>
      <c r="G118" t="s">
        <v>85</v>
      </c>
      <c r="H118" t="s">
        <v>167</v>
      </c>
      <c r="I118" t="s">
        <v>171</v>
      </c>
      <c r="J118" t="s">
        <v>88</v>
      </c>
      <c r="K118" t="s">
        <v>176</v>
      </c>
      <c r="L118">
        <v>16.5</v>
      </c>
      <c r="M118">
        <v>16.5</v>
      </c>
      <c r="N118">
        <v>0</v>
      </c>
      <c r="O118" s="19">
        <v>0</v>
      </c>
      <c r="P118">
        <v>16.5</v>
      </c>
      <c r="Q118" t="s">
        <v>410</v>
      </c>
    </row>
    <row r="119" spans="1:17">
      <c r="A119" t="s">
        <v>330</v>
      </c>
      <c r="B119">
        <v>10</v>
      </c>
      <c r="C119" t="s">
        <v>206</v>
      </c>
      <c r="D119" t="s">
        <v>61</v>
      </c>
      <c r="E119" t="s">
        <v>166</v>
      </c>
      <c r="F119" t="s">
        <v>166</v>
      </c>
      <c r="G119" t="s">
        <v>85</v>
      </c>
      <c r="H119" t="s">
        <v>169</v>
      </c>
      <c r="I119" t="s">
        <v>173</v>
      </c>
      <c r="J119" t="s">
        <v>88</v>
      </c>
      <c r="K119" t="s">
        <v>177</v>
      </c>
      <c r="L119">
        <v>20.5</v>
      </c>
      <c r="M119">
        <v>23</v>
      </c>
      <c r="N119">
        <v>2.5</v>
      </c>
      <c r="O119" s="19">
        <v>0</v>
      </c>
      <c r="P119">
        <v>20.5</v>
      </c>
      <c r="Q119" t="s">
        <v>410</v>
      </c>
    </row>
    <row r="120" spans="1:17">
      <c r="A120" t="s">
        <v>330</v>
      </c>
      <c r="B120">
        <v>10</v>
      </c>
      <c r="C120" t="s">
        <v>206</v>
      </c>
      <c r="D120" t="s">
        <v>68</v>
      </c>
      <c r="E120" t="s">
        <v>166</v>
      </c>
      <c r="F120" t="s">
        <v>166</v>
      </c>
      <c r="G120" t="s">
        <v>85</v>
      </c>
      <c r="H120" t="s">
        <v>170</v>
      </c>
      <c r="I120" t="s">
        <v>174</v>
      </c>
      <c r="J120" t="s">
        <v>89</v>
      </c>
      <c r="L120">
        <v>5.5</v>
      </c>
      <c r="M120">
        <v>8</v>
      </c>
      <c r="N120">
        <v>2.5</v>
      </c>
      <c r="O120" s="19">
        <v>0</v>
      </c>
      <c r="P120">
        <v>5.5</v>
      </c>
      <c r="Q120" t="s">
        <v>410</v>
      </c>
    </row>
    <row r="121" spans="1:17">
      <c r="A121" t="s">
        <v>330</v>
      </c>
      <c r="B121">
        <v>10</v>
      </c>
      <c r="C121" t="s">
        <v>206</v>
      </c>
      <c r="D121" t="s">
        <v>65</v>
      </c>
      <c r="E121" t="s">
        <v>166</v>
      </c>
      <c r="F121" t="s">
        <v>166</v>
      </c>
      <c r="G121" t="s">
        <v>86</v>
      </c>
      <c r="H121" t="s">
        <v>170</v>
      </c>
      <c r="I121" t="s">
        <v>174</v>
      </c>
      <c r="J121" t="s">
        <v>89</v>
      </c>
      <c r="L121">
        <v>15.5</v>
      </c>
      <c r="M121">
        <v>18</v>
      </c>
      <c r="N121">
        <v>2.5</v>
      </c>
      <c r="O121" s="19">
        <v>0</v>
      </c>
      <c r="P121">
        <v>15.5</v>
      </c>
      <c r="Q121" t="s">
        <v>410</v>
      </c>
    </row>
    <row r="122" spans="1:17">
      <c r="A122" t="s">
        <v>330</v>
      </c>
      <c r="B122">
        <v>10</v>
      </c>
      <c r="C122" t="s">
        <v>206</v>
      </c>
      <c r="D122" t="s">
        <v>64</v>
      </c>
      <c r="E122" t="s">
        <v>166</v>
      </c>
      <c r="F122" t="s">
        <v>166</v>
      </c>
      <c r="G122" t="s">
        <v>85</v>
      </c>
      <c r="H122" t="s">
        <v>168</v>
      </c>
      <c r="I122" t="s">
        <v>172</v>
      </c>
      <c r="J122" t="s">
        <v>88</v>
      </c>
      <c r="K122" t="s">
        <v>178</v>
      </c>
      <c r="L122">
        <v>5</v>
      </c>
      <c r="M122">
        <v>18.5</v>
      </c>
      <c r="N122">
        <v>13.5</v>
      </c>
      <c r="O122" s="19">
        <v>0</v>
      </c>
      <c r="P122">
        <v>5</v>
      </c>
      <c r="Q122" t="s">
        <v>410</v>
      </c>
    </row>
    <row r="123" spans="1:17">
      <c r="A123" t="s">
        <v>330</v>
      </c>
      <c r="B123">
        <v>10</v>
      </c>
      <c r="C123" t="s">
        <v>206</v>
      </c>
      <c r="D123" t="s">
        <v>71</v>
      </c>
      <c r="E123" t="s">
        <v>166</v>
      </c>
      <c r="F123" t="s">
        <v>166</v>
      </c>
      <c r="G123" t="s">
        <v>85</v>
      </c>
      <c r="H123" t="s">
        <v>170</v>
      </c>
      <c r="I123" t="s">
        <v>174</v>
      </c>
      <c r="J123" t="s">
        <v>89</v>
      </c>
      <c r="L123">
        <v>21.5</v>
      </c>
      <c r="M123">
        <v>21.5</v>
      </c>
      <c r="N123">
        <v>0</v>
      </c>
      <c r="O123" s="19">
        <v>0</v>
      </c>
      <c r="P123">
        <v>21.5</v>
      </c>
      <c r="Q123" t="s">
        <v>410</v>
      </c>
    </row>
    <row r="124" spans="1:17">
      <c r="A124" t="s">
        <v>330</v>
      </c>
      <c r="B124">
        <v>10</v>
      </c>
      <c r="C124" t="s">
        <v>206</v>
      </c>
      <c r="D124" t="s">
        <v>129</v>
      </c>
      <c r="E124" t="s">
        <v>166</v>
      </c>
      <c r="F124" t="s">
        <v>166</v>
      </c>
      <c r="G124" t="s">
        <v>85</v>
      </c>
      <c r="H124" t="s">
        <v>170</v>
      </c>
      <c r="I124" t="s">
        <v>174</v>
      </c>
      <c r="J124" t="s">
        <v>89</v>
      </c>
      <c r="L124">
        <v>-4.5</v>
      </c>
      <c r="M124">
        <v>5</v>
      </c>
      <c r="N124">
        <v>9.5</v>
      </c>
      <c r="O124" s="19">
        <v>0</v>
      </c>
      <c r="P124">
        <v>-4.5</v>
      </c>
      <c r="Q124" t="s">
        <v>410</v>
      </c>
    </row>
    <row r="125" spans="1:17">
      <c r="A125" t="s">
        <v>330</v>
      </c>
      <c r="B125">
        <v>10</v>
      </c>
      <c r="C125" t="s">
        <v>206</v>
      </c>
      <c r="D125" t="s">
        <v>70</v>
      </c>
      <c r="E125" t="s">
        <v>166</v>
      </c>
      <c r="F125" t="s">
        <v>166</v>
      </c>
      <c r="G125" t="s">
        <v>85</v>
      </c>
      <c r="H125" t="s">
        <v>170</v>
      </c>
      <c r="I125" t="s">
        <v>174</v>
      </c>
      <c r="J125" t="s">
        <v>89</v>
      </c>
      <c r="L125">
        <v>6.5</v>
      </c>
      <c r="M125">
        <v>12.5</v>
      </c>
      <c r="N125">
        <v>6</v>
      </c>
      <c r="O125" s="19">
        <v>2</v>
      </c>
      <c r="P125">
        <v>6.5</v>
      </c>
      <c r="Q125" t="s">
        <v>410</v>
      </c>
    </row>
    <row r="126" spans="1:17">
      <c r="A126" t="s">
        <v>330</v>
      </c>
      <c r="B126">
        <v>10</v>
      </c>
      <c r="C126" t="s">
        <v>206</v>
      </c>
      <c r="D126" t="s">
        <v>62</v>
      </c>
      <c r="E126" t="s">
        <v>166</v>
      </c>
      <c r="F126" t="s">
        <v>166</v>
      </c>
      <c r="G126" t="s">
        <v>85</v>
      </c>
      <c r="H126" t="s">
        <v>169</v>
      </c>
      <c r="I126" t="s">
        <v>173</v>
      </c>
      <c r="J126" t="s">
        <v>89</v>
      </c>
      <c r="L126">
        <v>26.5</v>
      </c>
      <c r="M126">
        <v>31</v>
      </c>
      <c r="N126">
        <v>4.5</v>
      </c>
      <c r="O126" s="19">
        <v>0</v>
      </c>
      <c r="P126">
        <v>26.5</v>
      </c>
      <c r="Q126" t="s">
        <v>410</v>
      </c>
    </row>
    <row r="127" spans="1:17">
      <c r="A127" t="s">
        <v>330</v>
      </c>
      <c r="B127">
        <v>10</v>
      </c>
      <c r="C127" t="s">
        <v>206</v>
      </c>
      <c r="D127" t="s">
        <v>59</v>
      </c>
      <c r="E127" t="s">
        <v>166</v>
      </c>
      <c r="F127" t="s">
        <v>166</v>
      </c>
      <c r="G127" t="s">
        <v>85</v>
      </c>
      <c r="H127" t="s">
        <v>167</v>
      </c>
      <c r="I127" t="s">
        <v>171</v>
      </c>
      <c r="J127" t="s">
        <v>89</v>
      </c>
      <c r="L127">
        <v>38</v>
      </c>
      <c r="M127">
        <v>42.5</v>
      </c>
      <c r="N127">
        <v>4.5</v>
      </c>
      <c r="O127" s="19">
        <v>0</v>
      </c>
      <c r="P127">
        <v>38</v>
      </c>
      <c r="Q127" t="s">
        <v>410</v>
      </c>
    </row>
    <row r="128" spans="1:17">
      <c r="A128" t="s">
        <v>330</v>
      </c>
      <c r="B128">
        <v>10</v>
      </c>
      <c r="C128" t="s">
        <v>206</v>
      </c>
      <c r="D128" t="s">
        <v>109</v>
      </c>
      <c r="E128" t="s">
        <v>180</v>
      </c>
      <c r="F128" t="s">
        <v>180</v>
      </c>
      <c r="G128" t="s">
        <v>85</v>
      </c>
      <c r="H128" t="s">
        <v>181</v>
      </c>
      <c r="I128" t="s">
        <v>180</v>
      </c>
      <c r="J128" t="s">
        <v>89</v>
      </c>
      <c r="L128">
        <v>6</v>
      </c>
      <c r="M128">
        <v>12</v>
      </c>
      <c r="N128">
        <v>6</v>
      </c>
      <c r="O128" s="19">
        <v>0</v>
      </c>
      <c r="P128">
        <v>6</v>
      </c>
      <c r="Q128" t="s">
        <v>410</v>
      </c>
    </row>
    <row r="129" spans="1:17">
      <c r="A129" t="s">
        <v>330</v>
      </c>
      <c r="B129">
        <v>10</v>
      </c>
      <c r="C129" t="s">
        <v>206</v>
      </c>
      <c r="D129" t="s">
        <v>110</v>
      </c>
      <c r="E129" t="s">
        <v>180</v>
      </c>
      <c r="F129" t="s">
        <v>180</v>
      </c>
      <c r="G129" t="s">
        <v>85</v>
      </c>
      <c r="H129" t="s">
        <v>181</v>
      </c>
      <c r="I129" t="s">
        <v>180</v>
      </c>
      <c r="J129" t="s">
        <v>89</v>
      </c>
      <c r="L129">
        <v>2</v>
      </c>
      <c r="M129">
        <v>21</v>
      </c>
      <c r="N129">
        <v>19</v>
      </c>
      <c r="O129" s="19">
        <v>0</v>
      </c>
      <c r="P129">
        <v>2</v>
      </c>
      <c r="Q129" t="s">
        <v>410</v>
      </c>
    </row>
    <row r="130" spans="1:17">
      <c r="A130" t="s">
        <v>330</v>
      </c>
      <c r="B130">
        <v>10</v>
      </c>
      <c r="C130" t="s">
        <v>206</v>
      </c>
      <c r="D130" t="s">
        <v>111</v>
      </c>
      <c r="E130" t="s">
        <v>180</v>
      </c>
      <c r="F130" t="s">
        <v>180</v>
      </c>
      <c r="G130" t="s">
        <v>86</v>
      </c>
      <c r="H130" t="s">
        <v>181</v>
      </c>
      <c r="I130" t="s">
        <v>180</v>
      </c>
      <c r="J130" t="s">
        <v>89</v>
      </c>
      <c r="L130">
        <v>-3</v>
      </c>
      <c r="M130">
        <v>0</v>
      </c>
      <c r="N130">
        <v>3</v>
      </c>
      <c r="O130" s="19">
        <v>0</v>
      </c>
      <c r="P130">
        <v>-3</v>
      </c>
      <c r="Q130" t="s">
        <v>410</v>
      </c>
    </row>
    <row r="131" spans="1:17">
      <c r="A131" t="s">
        <v>331</v>
      </c>
      <c r="B131">
        <v>11</v>
      </c>
      <c r="C131" t="s">
        <v>203</v>
      </c>
      <c r="D131" t="s">
        <v>63</v>
      </c>
      <c r="E131" t="s">
        <v>166</v>
      </c>
      <c r="F131" t="s">
        <v>166</v>
      </c>
      <c r="G131" t="s">
        <v>85</v>
      </c>
      <c r="H131" t="s">
        <v>167</v>
      </c>
      <c r="I131" t="s">
        <v>171</v>
      </c>
      <c r="J131" t="s">
        <v>88</v>
      </c>
      <c r="K131" t="s">
        <v>175</v>
      </c>
      <c r="L131">
        <v>11</v>
      </c>
      <c r="M131">
        <v>15.5</v>
      </c>
      <c r="N131">
        <v>4.5</v>
      </c>
      <c r="O131" s="19">
        <v>2</v>
      </c>
      <c r="P131">
        <v>11</v>
      </c>
      <c r="Q131" t="s">
        <v>410</v>
      </c>
    </row>
    <row r="132" spans="1:17">
      <c r="A132" t="s">
        <v>331</v>
      </c>
      <c r="B132">
        <v>11</v>
      </c>
      <c r="C132" t="s">
        <v>203</v>
      </c>
      <c r="D132" t="s">
        <v>69</v>
      </c>
      <c r="E132" t="s">
        <v>166</v>
      </c>
      <c r="F132" t="s">
        <v>166</v>
      </c>
      <c r="G132" t="s">
        <v>85</v>
      </c>
      <c r="H132" t="s">
        <v>168</v>
      </c>
      <c r="I132" t="s">
        <v>172</v>
      </c>
      <c r="J132" t="s">
        <v>89</v>
      </c>
      <c r="L132">
        <v>11</v>
      </c>
      <c r="M132">
        <v>13</v>
      </c>
      <c r="N132">
        <v>2</v>
      </c>
      <c r="O132" s="19">
        <v>0</v>
      </c>
      <c r="P132">
        <v>11</v>
      </c>
      <c r="Q132" t="s">
        <v>410</v>
      </c>
    </row>
    <row r="133" spans="1:17">
      <c r="A133" t="s">
        <v>331</v>
      </c>
      <c r="B133">
        <v>11</v>
      </c>
      <c r="C133" t="s">
        <v>203</v>
      </c>
      <c r="D133" t="s">
        <v>60</v>
      </c>
      <c r="E133" t="s">
        <v>166</v>
      </c>
      <c r="F133" t="s">
        <v>166</v>
      </c>
      <c r="G133" t="s">
        <v>85</v>
      </c>
      <c r="H133" t="s">
        <v>167</v>
      </c>
      <c r="I133" t="s">
        <v>171</v>
      </c>
      <c r="J133" t="s">
        <v>88</v>
      </c>
      <c r="K133" t="s">
        <v>176</v>
      </c>
      <c r="L133">
        <v>9</v>
      </c>
      <c r="M133">
        <v>13.5</v>
      </c>
      <c r="N133">
        <v>4.5</v>
      </c>
      <c r="O133" s="19">
        <v>2</v>
      </c>
      <c r="P133">
        <v>9</v>
      </c>
      <c r="Q133" t="s">
        <v>410</v>
      </c>
    </row>
    <row r="134" spans="1:17">
      <c r="A134" t="s">
        <v>331</v>
      </c>
      <c r="B134">
        <v>11</v>
      </c>
      <c r="C134" t="s">
        <v>203</v>
      </c>
      <c r="D134" t="s">
        <v>61</v>
      </c>
      <c r="E134" t="s">
        <v>166</v>
      </c>
      <c r="F134" t="s">
        <v>166</v>
      </c>
      <c r="G134" t="s">
        <v>85</v>
      </c>
      <c r="H134" t="s">
        <v>169</v>
      </c>
      <c r="I134" t="s">
        <v>173</v>
      </c>
      <c r="J134" t="s">
        <v>88</v>
      </c>
      <c r="K134" t="s">
        <v>177</v>
      </c>
      <c r="L134">
        <v>7.5</v>
      </c>
      <c r="M134">
        <v>14</v>
      </c>
      <c r="N134">
        <v>6.5</v>
      </c>
      <c r="O134" s="19">
        <v>2</v>
      </c>
      <c r="P134">
        <v>7.5</v>
      </c>
      <c r="Q134" t="s">
        <v>410</v>
      </c>
    </row>
    <row r="135" spans="1:17">
      <c r="A135" t="s">
        <v>331</v>
      </c>
      <c r="B135">
        <v>11</v>
      </c>
      <c r="C135" t="s">
        <v>203</v>
      </c>
      <c r="D135" t="s">
        <v>68</v>
      </c>
      <c r="E135" t="s">
        <v>166</v>
      </c>
      <c r="F135" t="s">
        <v>166</v>
      </c>
      <c r="G135" t="s">
        <v>85</v>
      </c>
      <c r="H135" t="s">
        <v>170</v>
      </c>
      <c r="I135" t="s">
        <v>174</v>
      </c>
      <c r="J135" t="s">
        <v>89</v>
      </c>
      <c r="L135">
        <v>13.5</v>
      </c>
      <c r="M135">
        <v>13.5</v>
      </c>
      <c r="N135">
        <v>0</v>
      </c>
      <c r="O135" s="19">
        <v>0</v>
      </c>
      <c r="P135">
        <v>13.5</v>
      </c>
      <c r="Q135" t="s">
        <v>410</v>
      </c>
    </row>
    <row r="136" spans="1:17">
      <c r="A136" t="s">
        <v>331</v>
      </c>
      <c r="B136">
        <v>11</v>
      </c>
      <c r="C136" t="s">
        <v>203</v>
      </c>
      <c r="D136" t="s">
        <v>65</v>
      </c>
      <c r="E136" t="s">
        <v>166</v>
      </c>
      <c r="F136" t="s">
        <v>166</v>
      </c>
      <c r="G136" t="s">
        <v>86</v>
      </c>
      <c r="H136" t="s">
        <v>170</v>
      </c>
      <c r="I136" t="s">
        <v>174</v>
      </c>
      <c r="J136" t="s">
        <v>89</v>
      </c>
      <c r="L136">
        <v>19</v>
      </c>
      <c r="M136">
        <v>21</v>
      </c>
      <c r="N136">
        <v>2</v>
      </c>
      <c r="O136" s="19">
        <v>0</v>
      </c>
      <c r="P136">
        <v>19</v>
      </c>
      <c r="Q136" t="s">
        <v>410</v>
      </c>
    </row>
    <row r="137" spans="1:17">
      <c r="A137" t="s">
        <v>331</v>
      </c>
      <c r="B137">
        <v>11</v>
      </c>
      <c r="C137" t="s">
        <v>203</v>
      </c>
      <c r="D137" t="s">
        <v>64</v>
      </c>
      <c r="E137" t="s">
        <v>166</v>
      </c>
      <c r="F137" t="s">
        <v>166</v>
      </c>
      <c r="G137" t="s">
        <v>85</v>
      </c>
      <c r="H137" t="s">
        <v>168</v>
      </c>
      <c r="I137" t="s">
        <v>172</v>
      </c>
      <c r="J137" t="s">
        <v>88</v>
      </c>
      <c r="K137" t="s">
        <v>178</v>
      </c>
      <c r="L137">
        <v>10.5</v>
      </c>
      <c r="M137">
        <v>18.5</v>
      </c>
      <c r="N137">
        <v>8</v>
      </c>
      <c r="O137" s="19">
        <v>2</v>
      </c>
      <c r="P137">
        <v>10.5</v>
      </c>
      <c r="Q137" t="s">
        <v>410</v>
      </c>
    </row>
    <row r="138" spans="1:17">
      <c r="A138" t="s">
        <v>331</v>
      </c>
      <c r="B138">
        <v>11</v>
      </c>
      <c r="C138" t="s">
        <v>203</v>
      </c>
      <c r="D138" t="s">
        <v>71</v>
      </c>
      <c r="E138" t="s">
        <v>166</v>
      </c>
      <c r="F138" t="s">
        <v>166</v>
      </c>
      <c r="G138" t="s">
        <v>85</v>
      </c>
      <c r="H138" t="s">
        <v>170</v>
      </c>
      <c r="I138" t="s">
        <v>174</v>
      </c>
      <c r="J138" t="s">
        <v>89</v>
      </c>
      <c r="L138">
        <v>10</v>
      </c>
      <c r="M138">
        <v>12</v>
      </c>
      <c r="N138">
        <v>2</v>
      </c>
      <c r="O138" s="19">
        <v>0</v>
      </c>
      <c r="P138">
        <v>10</v>
      </c>
      <c r="Q138" t="s">
        <v>410</v>
      </c>
    </row>
    <row r="139" spans="1:17">
      <c r="A139" t="s">
        <v>331</v>
      </c>
      <c r="B139">
        <v>11</v>
      </c>
      <c r="C139" t="s">
        <v>203</v>
      </c>
      <c r="D139" t="s">
        <v>66</v>
      </c>
      <c r="E139" t="s">
        <v>166</v>
      </c>
      <c r="F139" t="s">
        <v>166</v>
      </c>
      <c r="G139" t="s">
        <v>85</v>
      </c>
      <c r="H139" t="s">
        <v>167</v>
      </c>
      <c r="I139" t="s">
        <v>171</v>
      </c>
      <c r="J139" t="s">
        <v>89</v>
      </c>
      <c r="L139">
        <v>5</v>
      </c>
      <c r="M139">
        <v>14.5</v>
      </c>
      <c r="N139">
        <v>9.5</v>
      </c>
      <c r="O139" s="19">
        <v>0</v>
      </c>
      <c r="P139">
        <v>5</v>
      </c>
      <c r="Q139" t="s">
        <v>410</v>
      </c>
    </row>
    <row r="140" spans="1:17">
      <c r="A140" t="s">
        <v>331</v>
      </c>
      <c r="B140">
        <v>11</v>
      </c>
      <c r="C140" t="s">
        <v>203</v>
      </c>
      <c r="D140" t="s">
        <v>70</v>
      </c>
      <c r="E140" t="s">
        <v>166</v>
      </c>
      <c r="F140" t="s">
        <v>166</v>
      </c>
      <c r="G140" t="s">
        <v>85</v>
      </c>
      <c r="H140" t="s">
        <v>170</v>
      </c>
      <c r="I140" t="s">
        <v>174</v>
      </c>
      <c r="J140" t="s">
        <v>89</v>
      </c>
      <c r="L140">
        <v>-1.5</v>
      </c>
      <c r="M140">
        <v>3</v>
      </c>
      <c r="N140">
        <v>4.5</v>
      </c>
      <c r="O140" s="19">
        <v>0</v>
      </c>
      <c r="P140">
        <v>-1.5</v>
      </c>
      <c r="Q140" t="s">
        <v>410</v>
      </c>
    </row>
    <row r="141" spans="1:17">
      <c r="A141" t="s">
        <v>331</v>
      </c>
      <c r="B141">
        <v>11</v>
      </c>
      <c r="C141" t="s">
        <v>203</v>
      </c>
      <c r="D141" t="s">
        <v>62</v>
      </c>
      <c r="E141" t="s">
        <v>166</v>
      </c>
      <c r="F141" t="s">
        <v>166</v>
      </c>
      <c r="G141" t="s">
        <v>85</v>
      </c>
      <c r="H141" t="s">
        <v>169</v>
      </c>
      <c r="I141" t="s">
        <v>173</v>
      </c>
      <c r="J141" t="s">
        <v>89</v>
      </c>
      <c r="L141">
        <v>13.5</v>
      </c>
      <c r="M141">
        <v>13.5</v>
      </c>
      <c r="N141">
        <v>0</v>
      </c>
      <c r="O141" s="19">
        <v>0</v>
      </c>
      <c r="P141">
        <v>13.5</v>
      </c>
      <c r="Q141" t="s">
        <v>410</v>
      </c>
    </row>
    <row r="142" spans="1:17">
      <c r="A142" t="s">
        <v>331</v>
      </c>
      <c r="B142">
        <v>11</v>
      </c>
      <c r="C142" t="s">
        <v>203</v>
      </c>
      <c r="D142" t="s">
        <v>59</v>
      </c>
      <c r="E142" t="s">
        <v>166</v>
      </c>
      <c r="F142" t="s">
        <v>166</v>
      </c>
      <c r="G142" t="s">
        <v>85</v>
      </c>
      <c r="H142" t="s">
        <v>167</v>
      </c>
      <c r="I142" t="s">
        <v>171</v>
      </c>
      <c r="J142" t="s">
        <v>89</v>
      </c>
      <c r="L142">
        <v>11.5</v>
      </c>
      <c r="M142">
        <v>29</v>
      </c>
      <c r="N142">
        <v>17.5</v>
      </c>
      <c r="O142" s="19">
        <v>4</v>
      </c>
      <c r="P142">
        <v>11.5</v>
      </c>
      <c r="Q142" t="s">
        <v>410</v>
      </c>
    </row>
    <row r="143" spans="1:17">
      <c r="A143" t="s">
        <v>331</v>
      </c>
      <c r="B143">
        <v>11</v>
      </c>
      <c r="C143" t="s">
        <v>203</v>
      </c>
      <c r="D143" t="s">
        <v>109</v>
      </c>
      <c r="E143" t="s">
        <v>180</v>
      </c>
      <c r="F143" t="s">
        <v>180</v>
      </c>
      <c r="G143" t="s">
        <v>85</v>
      </c>
      <c r="H143" t="s">
        <v>181</v>
      </c>
      <c r="I143" t="s">
        <v>180</v>
      </c>
      <c r="J143" t="s">
        <v>89</v>
      </c>
      <c r="L143">
        <v>-3</v>
      </c>
      <c r="M143">
        <v>6</v>
      </c>
      <c r="N143">
        <v>9</v>
      </c>
      <c r="O143" s="19">
        <v>0</v>
      </c>
      <c r="P143">
        <v>-3</v>
      </c>
      <c r="Q143" t="s">
        <v>410</v>
      </c>
    </row>
    <row r="144" spans="1:17">
      <c r="A144" t="s">
        <v>331</v>
      </c>
      <c r="B144">
        <v>11</v>
      </c>
      <c r="C144" t="s">
        <v>203</v>
      </c>
      <c r="D144" t="s">
        <v>111</v>
      </c>
      <c r="E144" t="s">
        <v>180</v>
      </c>
      <c r="F144" t="s">
        <v>180</v>
      </c>
      <c r="G144" t="s">
        <v>86</v>
      </c>
      <c r="H144" t="s">
        <v>181</v>
      </c>
      <c r="I144" t="s">
        <v>180</v>
      </c>
      <c r="J144" t="s">
        <v>89</v>
      </c>
      <c r="L144">
        <v>-8</v>
      </c>
      <c r="M144">
        <v>21</v>
      </c>
      <c r="N144">
        <v>29</v>
      </c>
      <c r="O144" s="19">
        <v>2</v>
      </c>
      <c r="P144">
        <v>-8</v>
      </c>
      <c r="Q144" t="s">
        <v>410</v>
      </c>
    </row>
    <row r="145" spans="1:17">
      <c r="A145" t="s">
        <v>333</v>
      </c>
      <c r="B145">
        <v>13</v>
      </c>
      <c r="C145" t="s">
        <v>204</v>
      </c>
      <c r="D145" t="s">
        <v>63</v>
      </c>
      <c r="E145" t="s">
        <v>166</v>
      </c>
      <c r="F145" t="s">
        <v>166</v>
      </c>
      <c r="G145" t="s">
        <v>85</v>
      </c>
      <c r="H145" t="s">
        <v>167</v>
      </c>
      <c r="I145" t="s">
        <v>171</v>
      </c>
      <c r="J145" t="s">
        <v>88</v>
      </c>
      <c r="K145" t="s">
        <v>175</v>
      </c>
      <c r="L145">
        <v>11</v>
      </c>
      <c r="M145">
        <v>15</v>
      </c>
      <c r="N145">
        <v>4</v>
      </c>
      <c r="O145" s="19">
        <v>4</v>
      </c>
      <c r="P145">
        <v>11</v>
      </c>
      <c r="Q145" t="s">
        <v>410</v>
      </c>
    </row>
    <row r="146" spans="1:17">
      <c r="A146" t="s">
        <v>333</v>
      </c>
      <c r="B146">
        <v>13</v>
      </c>
      <c r="C146" t="s">
        <v>204</v>
      </c>
      <c r="D146" t="s">
        <v>69</v>
      </c>
      <c r="E146" t="s">
        <v>166</v>
      </c>
      <c r="F146" t="s">
        <v>166</v>
      </c>
      <c r="G146" t="s">
        <v>85</v>
      </c>
      <c r="H146" t="s">
        <v>168</v>
      </c>
      <c r="I146" t="s">
        <v>172</v>
      </c>
      <c r="J146" t="s">
        <v>89</v>
      </c>
      <c r="L146">
        <v>1.5</v>
      </c>
      <c r="M146">
        <v>3.5</v>
      </c>
      <c r="N146">
        <v>2</v>
      </c>
      <c r="O146" s="19">
        <v>0</v>
      </c>
      <c r="P146">
        <v>1.5</v>
      </c>
      <c r="Q146" t="s">
        <v>410</v>
      </c>
    </row>
    <row r="147" spans="1:17">
      <c r="A147" t="s">
        <v>333</v>
      </c>
      <c r="B147">
        <v>13</v>
      </c>
      <c r="C147" t="s">
        <v>204</v>
      </c>
      <c r="D147" t="s">
        <v>60</v>
      </c>
      <c r="E147" t="s">
        <v>166</v>
      </c>
      <c r="F147" t="s">
        <v>166</v>
      </c>
      <c r="G147" t="s">
        <v>85</v>
      </c>
      <c r="H147" t="s">
        <v>167</v>
      </c>
      <c r="I147" t="s">
        <v>171</v>
      </c>
      <c r="J147" t="s">
        <v>88</v>
      </c>
      <c r="K147" t="s">
        <v>176</v>
      </c>
      <c r="L147">
        <v>12.5</v>
      </c>
      <c r="M147">
        <v>16.5</v>
      </c>
      <c r="N147">
        <v>4</v>
      </c>
      <c r="O147" s="19">
        <v>0</v>
      </c>
      <c r="P147">
        <v>12.5</v>
      </c>
      <c r="Q147" t="s">
        <v>410</v>
      </c>
    </row>
    <row r="148" spans="1:17">
      <c r="A148" t="s">
        <v>333</v>
      </c>
      <c r="B148">
        <v>13</v>
      </c>
      <c r="C148" t="s">
        <v>204</v>
      </c>
      <c r="D148" t="s">
        <v>61</v>
      </c>
      <c r="E148" t="s">
        <v>166</v>
      </c>
      <c r="F148" t="s">
        <v>166</v>
      </c>
      <c r="G148" t="s">
        <v>85</v>
      </c>
      <c r="H148" t="s">
        <v>169</v>
      </c>
      <c r="I148" t="s">
        <v>173</v>
      </c>
      <c r="J148" t="s">
        <v>88</v>
      </c>
      <c r="K148" t="s">
        <v>177</v>
      </c>
      <c r="L148">
        <v>14</v>
      </c>
      <c r="M148">
        <v>18.5</v>
      </c>
      <c r="N148">
        <v>4.5</v>
      </c>
      <c r="O148" s="19">
        <v>0</v>
      </c>
      <c r="P148">
        <v>14</v>
      </c>
      <c r="Q148" t="s">
        <v>410</v>
      </c>
    </row>
    <row r="149" spans="1:17">
      <c r="A149" t="s">
        <v>333</v>
      </c>
      <c r="B149">
        <v>13</v>
      </c>
      <c r="C149" t="s">
        <v>204</v>
      </c>
      <c r="D149" t="s">
        <v>68</v>
      </c>
      <c r="E149" t="s">
        <v>166</v>
      </c>
      <c r="F149" t="s">
        <v>166</v>
      </c>
      <c r="G149" t="s">
        <v>85</v>
      </c>
      <c r="H149" t="s">
        <v>170</v>
      </c>
      <c r="I149" t="s">
        <v>174</v>
      </c>
      <c r="J149" t="s">
        <v>89</v>
      </c>
      <c r="L149">
        <v>-1</v>
      </c>
      <c r="M149">
        <v>5</v>
      </c>
      <c r="N149">
        <v>6</v>
      </c>
      <c r="O149" s="19">
        <v>0</v>
      </c>
      <c r="P149">
        <v>-1</v>
      </c>
      <c r="Q149" t="s">
        <v>410</v>
      </c>
    </row>
    <row r="150" spans="1:17">
      <c r="A150" t="s">
        <v>333</v>
      </c>
      <c r="B150">
        <v>13</v>
      </c>
      <c r="C150" t="s">
        <v>204</v>
      </c>
      <c r="D150" t="s">
        <v>64</v>
      </c>
      <c r="E150" t="s">
        <v>166</v>
      </c>
      <c r="F150" t="s">
        <v>166</v>
      </c>
      <c r="G150" t="s">
        <v>85</v>
      </c>
      <c r="H150" t="s">
        <v>168</v>
      </c>
      <c r="I150" t="s">
        <v>172</v>
      </c>
      <c r="J150" t="s">
        <v>88</v>
      </c>
      <c r="K150" t="s">
        <v>178</v>
      </c>
      <c r="L150">
        <v>13</v>
      </c>
      <c r="M150">
        <v>15.5</v>
      </c>
      <c r="N150">
        <v>2.5</v>
      </c>
      <c r="O150" s="19">
        <v>0</v>
      </c>
      <c r="P150">
        <v>13</v>
      </c>
      <c r="Q150" t="s">
        <v>410</v>
      </c>
    </row>
    <row r="151" spans="1:17">
      <c r="A151" t="s">
        <v>333</v>
      </c>
      <c r="B151">
        <v>13</v>
      </c>
      <c r="C151" t="s">
        <v>204</v>
      </c>
      <c r="D151" t="s">
        <v>71</v>
      </c>
      <c r="E151" t="s">
        <v>166</v>
      </c>
      <c r="F151" t="s">
        <v>166</v>
      </c>
      <c r="G151" t="s">
        <v>85</v>
      </c>
      <c r="H151" t="s">
        <v>170</v>
      </c>
      <c r="I151" t="s">
        <v>174</v>
      </c>
      <c r="J151" t="s">
        <v>89</v>
      </c>
      <c r="L151">
        <v>-6.5</v>
      </c>
      <c r="M151">
        <v>3</v>
      </c>
      <c r="N151">
        <v>9.5</v>
      </c>
      <c r="O151" s="19">
        <v>4</v>
      </c>
      <c r="P151">
        <v>-6.5</v>
      </c>
      <c r="Q151" t="s">
        <v>410</v>
      </c>
    </row>
    <row r="152" spans="1:17">
      <c r="A152" t="s">
        <v>333</v>
      </c>
      <c r="B152">
        <v>13</v>
      </c>
      <c r="C152" t="s">
        <v>204</v>
      </c>
      <c r="D152" t="s">
        <v>129</v>
      </c>
      <c r="E152" t="s">
        <v>166</v>
      </c>
      <c r="F152" t="s">
        <v>166</v>
      </c>
      <c r="G152" t="s">
        <v>85</v>
      </c>
      <c r="H152" t="s">
        <v>170</v>
      </c>
      <c r="I152" t="s">
        <v>174</v>
      </c>
      <c r="J152" t="s">
        <v>89</v>
      </c>
      <c r="L152">
        <v>0</v>
      </c>
      <c r="M152">
        <v>0</v>
      </c>
      <c r="N152">
        <v>0</v>
      </c>
      <c r="O152" s="19">
        <v>0</v>
      </c>
      <c r="P152">
        <v>0</v>
      </c>
      <c r="Q152" t="s">
        <v>410</v>
      </c>
    </row>
    <row r="153" spans="1:17">
      <c r="A153" t="s">
        <v>333</v>
      </c>
      <c r="B153">
        <v>13</v>
      </c>
      <c r="C153" t="s">
        <v>204</v>
      </c>
      <c r="D153" t="s">
        <v>66</v>
      </c>
      <c r="E153" t="s">
        <v>166</v>
      </c>
      <c r="F153" t="s">
        <v>166</v>
      </c>
      <c r="G153" t="s">
        <v>85</v>
      </c>
      <c r="H153" t="s">
        <v>167</v>
      </c>
      <c r="I153" t="s">
        <v>171</v>
      </c>
      <c r="J153" t="s">
        <v>89</v>
      </c>
      <c r="L153">
        <v>5.5</v>
      </c>
      <c r="M153">
        <v>8</v>
      </c>
      <c r="N153">
        <v>2.5</v>
      </c>
      <c r="O153" s="19">
        <v>0</v>
      </c>
      <c r="P153">
        <v>5.5</v>
      </c>
      <c r="Q153" t="s">
        <v>410</v>
      </c>
    </row>
    <row r="154" spans="1:17">
      <c r="A154" t="s">
        <v>333</v>
      </c>
      <c r="B154">
        <v>13</v>
      </c>
      <c r="C154" t="s">
        <v>204</v>
      </c>
      <c r="D154" t="s">
        <v>70</v>
      </c>
      <c r="E154" t="s">
        <v>166</v>
      </c>
      <c r="F154" t="s">
        <v>166</v>
      </c>
      <c r="G154" t="s">
        <v>85</v>
      </c>
      <c r="H154" t="s">
        <v>170</v>
      </c>
      <c r="I154" t="s">
        <v>174</v>
      </c>
      <c r="J154" t="s">
        <v>89</v>
      </c>
      <c r="L154">
        <v>0.5</v>
      </c>
      <c r="M154">
        <v>3</v>
      </c>
      <c r="N154">
        <v>2.5</v>
      </c>
      <c r="O154" s="19">
        <v>0</v>
      </c>
      <c r="P154">
        <v>0.5</v>
      </c>
      <c r="Q154" t="s">
        <v>410</v>
      </c>
    </row>
    <row r="155" spans="1:17">
      <c r="A155" t="s">
        <v>333</v>
      </c>
      <c r="B155">
        <v>13</v>
      </c>
      <c r="C155" t="s">
        <v>204</v>
      </c>
      <c r="D155" t="s">
        <v>62</v>
      </c>
      <c r="E155" t="s">
        <v>166</v>
      </c>
      <c r="F155" t="s">
        <v>166</v>
      </c>
      <c r="G155" t="s">
        <v>85</v>
      </c>
      <c r="H155" t="s">
        <v>169</v>
      </c>
      <c r="I155" t="s">
        <v>173</v>
      </c>
      <c r="J155" t="s">
        <v>89</v>
      </c>
      <c r="L155">
        <v>19</v>
      </c>
      <c r="M155">
        <v>23</v>
      </c>
      <c r="N155">
        <v>4</v>
      </c>
      <c r="O155" s="19">
        <v>0</v>
      </c>
      <c r="P155">
        <v>19</v>
      </c>
      <c r="Q155" t="s">
        <v>410</v>
      </c>
    </row>
    <row r="156" spans="1:17">
      <c r="A156" t="s">
        <v>333</v>
      </c>
      <c r="B156">
        <v>13</v>
      </c>
      <c r="C156" t="s">
        <v>204</v>
      </c>
      <c r="D156" t="s">
        <v>59</v>
      </c>
      <c r="E156" t="s">
        <v>166</v>
      </c>
      <c r="F156" t="s">
        <v>166</v>
      </c>
      <c r="G156" t="s">
        <v>85</v>
      </c>
      <c r="H156" t="s">
        <v>167</v>
      </c>
      <c r="I156" t="s">
        <v>171</v>
      </c>
      <c r="J156" t="s">
        <v>89</v>
      </c>
      <c r="L156">
        <v>14</v>
      </c>
      <c r="M156">
        <v>23.5</v>
      </c>
      <c r="N156">
        <v>9.5</v>
      </c>
      <c r="O156" s="19">
        <v>2</v>
      </c>
      <c r="P156">
        <v>14</v>
      </c>
      <c r="Q156" t="s">
        <v>410</v>
      </c>
    </row>
    <row r="157" spans="1:17">
      <c r="A157" t="s">
        <v>333</v>
      </c>
      <c r="B157">
        <v>13</v>
      </c>
      <c r="C157" t="s">
        <v>204</v>
      </c>
      <c r="D157" t="s">
        <v>110</v>
      </c>
      <c r="E157" t="s">
        <v>180</v>
      </c>
      <c r="F157" t="s">
        <v>180</v>
      </c>
      <c r="G157" t="s">
        <v>85</v>
      </c>
      <c r="H157" t="s">
        <v>181</v>
      </c>
      <c r="I157" t="s">
        <v>180</v>
      </c>
      <c r="J157" t="s">
        <v>89</v>
      </c>
      <c r="L157">
        <v>-3</v>
      </c>
      <c r="M157">
        <v>12</v>
      </c>
      <c r="N157">
        <v>15</v>
      </c>
      <c r="O157" s="19">
        <v>0</v>
      </c>
      <c r="P157">
        <v>-3</v>
      </c>
      <c r="Q157" t="s">
        <v>410</v>
      </c>
    </row>
    <row r="158" spans="1:17">
      <c r="A158" t="s">
        <v>333</v>
      </c>
      <c r="B158">
        <v>13</v>
      </c>
      <c r="C158" t="s">
        <v>204</v>
      </c>
      <c r="D158" t="s">
        <v>111</v>
      </c>
      <c r="E158" t="s">
        <v>180</v>
      </c>
      <c r="F158" t="s">
        <v>180</v>
      </c>
      <c r="G158" t="s">
        <v>86</v>
      </c>
      <c r="H158" t="s">
        <v>181</v>
      </c>
      <c r="I158" t="s">
        <v>180</v>
      </c>
      <c r="J158" t="s">
        <v>89</v>
      </c>
      <c r="L158">
        <v>0</v>
      </c>
      <c r="M158">
        <v>9</v>
      </c>
      <c r="N158">
        <v>9</v>
      </c>
      <c r="O158" s="19">
        <v>0</v>
      </c>
      <c r="P158">
        <v>0</v>
      </c>
      <c r="Q158" t="s">
        <v>410</v>
      </c>
    </row>
    <row r="159" spans="1:17">
      <c r="A159" t="s">
        <v>334</v>
      </c>
      <c r="B159">
        <v>14</v>
      </c>
      <c r="C159" t="s">
        <v>205</v>
      </c>
      <c r="D159" t="s">
        <v>63</v>
      </c>
      <c r="E159" t="s">
        <v>166</v>
      </c>
      <c r="F159" t="s">
        <v>166</v>
      </c>
      <c r="G159" t="s">
        <v>85</v>
      </c>
      <c r="H159" t="s">
        <v>167</v>
      </c>
      <c r="I159" t="s">
        <v>171</v>
      </c>
      <c r="J159" t="s">
        <v>88</v>
      </c>
      <c r="K159" t="s">
        <v>175</v>
      </c>
      <c r="L159">
        <v>14</v>
      </c>
      <c r="M159">
        <v>14</v>
      </c>
      <c r="N159">
        <v>0</v>
      </c>
      <c r="O159" s="19">
        <v>0</v>
      </c>
      <c r="P159">
        <v>14</v>
      </c>
      <c r="Q159" t="s">
        <v>410</v>
      </c>
    </row>
    <row r="160" spans="1:17">
      <c r="A160" t="s">
        <v>334</v>
      </c>
      <c r="B160">
        <v>14</v>
      </c>
      <c r="C160" t="s">
        <v>205</v>
      </c>
      <c r="D160" t="s">
        <v>69</v>
      </c>
      <c r="E160" t="s">
        <v>166</v>
      </c>
      <c r="F160" t="s">
        <v>166</v>
      </c>
      <c r="G160" t="s">
        <v>85</v>
      </c>
      <c r="H160" t="s">
        <v>168</v>
      </c>
      <c r="I160" t="s">
        <v>172</v>
      </c>
      <c r="J160" t="s">
        <v>89</v>
      </c>
      <c r="L160">
        <v>0.5</v>
      </c>
      <c r="M160">
        <v>7.5</v>
      </c>
      <c r="N160">
        <v>7</v>
      </c>
      <c r="O160" s="19">
        <v>0</v>
      </c>
      <c r="P160">
        <v>0.5</v>
      </c>
      <c r="Q160" t="s">
        <v>410</v>
      </c>
    </row>
    <row r="161" spans="1:17">
      <c r="A161" t="s">
        <v>334</v>
      </c>
      <c r="B161">
        <v>14</v>
      </c>
      <c r="C161" t="s">
        <v>205</v>
      </c>
      <c r="D161" t="s">
        <v>60</v>
      </c>
      <c r="E161" t="s">
        <v>166</v>
      </c>
      <c r="F161" t="s">
        <v>166</v>
      </c>
      <c r="G161" t="s">
        <v>85</v>
      </c>
      <c r="H161" t="s">
        <v>167</v>
      </c>
      <c r="I161" t="s">
        <v>171</v>
      </c>
      <c r="J161" t="s">
        <v>88</v>
      </c>
      <c r="K161" t="s">
        <v>176</v>
      </c>
      <c r="L161">
        <v>30.5</v>
      </c>
      <c r="M161">
        <v>35</v>
      </c>
      <c r="N161">
        <v>4.5</v>
      </c>
      <c r="O161" s="19">
        <v>0</v>
      </c>
      <c r="P161">
        <v>30.5</v>
      </c>
      <c r="Q161" t="s">
        <v>410</v>
      </c>
    </row>
    <row r="162" spans="1:17">
      <c r="A162" t="s">
        <v>334</v>
      </c>
      <c r="B162">
        <v>14</v>
      </c>
      <c r="C162" t="s">
        <v>205</v>
      </c>
      <c r="D162" t="s">
        <v>61</v>
      </c>
      <c r="E162" t="s">
        <v>166</v>
      </c>
      <c r="F162" t="s">
        <v>166</v>
      </c>
      <c r="G162" t="s">
        <v>85</v>
      </c>
      <c r="H162" t="s">
        <v>169</v>
      </c>
      <c r="I162" t="s">
        <v>173</v>
      </c>
      <c r="J162" t="s">
        <v>88</v>
      </c>
      <c r="K162" t="s">
        <v>177</v>
      </c>
      <c r="L162">
        <v>14</v>
      </c>
      <c r="M162">
        <v>26.5</v>
      </c>
      <c r="N162">
        <v>12.5</v>
      </c>
      <c r="O162" s="19">
        <v>2</v>
      </c>
      <c r="P162">
        <v>14</v>
      </c>
      <c r="Q162" t="s">
        <v>410</v>
      </c>
    </row>
    <row r="163" spans="1:17">
      <c r="A163" t="s">
        <v>334</v>
      </c>
      <c r="B163">
        <v>14</v>
      </c>
      <c r="C163" t="s">
        <v>205</v>
      </c>
      <c r="D163" t="s">
        <v>68</v>
      </c>
      <c r="E163" t="s">
        <v>166</v>
      </c>
      <c r="F163" t="s">
        <v>166</v>
      </c>
      <c r="G163" t="s">
        <v>85</v>
      </c>
      <c r="H163" t="s">
        <v>170</v>
      </c>
      <c r="I163" t="s">
        <v>174</v>
      </c>
      <c r="J163" t="s">
        <v>89</v>
      </c>
      <c r="L163">
        <v>4.5</v>
      </c>
      <c r="M163">
        <v>9.5</v>
      </c>
      <c r="N163">
        <v>5</v>
      </c>
      <c r="O163" s="19">
        <v>0</v>
      </c>
      <c r="P163">
        <v>4.5</v>
      </c>
      <c r="Q163" t="s">
        <v>410</v>
      </c>
    </row>
    <row r="164" spans="1:17">
      <c r="A164" t="s">
        <v>334</v>
      </c>
      <c r="B164">
        <v>14</v>
      </c>
      <c r="C164" t="s">
        <v>205</v>
      </c>
      <c r="D164" t="s">
        <v>65</v>
      </c>
      <c r="E164" t="s">
        <v>166</v>
      </c>
      <c r="F164" t="s">
        <v>166</v>
      </c>
      <c r="G164" t="s">
        <v>86</v>
      </c>
      <c r="H164" t="s">
        <v>170</v>
      </c>
      <c r="I164" t="s">
        <v>174</v>
      </c>
      <c r="J164" t="s">
        <v>89</v>
      </c>
      <c r="L164">
        <v>8.5</v>
      </c>
      <c r="M164">
        <v>8.5</v>
      </c>
      <c r="N164">
        <v>0</v>
      </c>
      <c r="O164" s="19">
        <v>0</v>
      </c>
      <c r="P164">
        <v>8.5</v>
      </c>
      <c r="Q164" t="s">
        <v>410</v>
      </c>
    </row>
    <row r="165" spans="1:17">
      <c r="A165" t="s">
        <v>334</v>
      </c>
      <c r="B165">
        <v>14</v>
      </c>
      <c r="C165" t="s">
        <v>205</v>
      </c>
      <c r="D165" t="s">
        <v>64</v>
      </c>
      <c r="E165" t="s">
        <v>166</v>
      </c>
      <c r="F165" t="s">
        <v>166</v>
      </c>
      <c r="G165" t="s">
        <v>85</v>
      </c>
      <c r="H165" t="s">
        <v>168</v>
      </c>
      <c r="I165" t="s">
        <v>172</v>
      </c>
      <c r="J165" t="s">
        <v>88</v>
      </c>
      <c r="K165" t="s">
        <v>178</v>
      </c>
      <c r="L165">
        <v>23.5</v>
      </c>
      <c r="M165">
        <v>32.5</v>
      </c>
      <c r="N165">
        <v>9</v>
      </c>
      <c r="O165" s="19">
        <v>0</v>
      </c>
      <c r="P165">
        <v>23.5</v>
      </c>
      <c r="Q165" t="s">
        <v>410</v>
      </c>
    </row>
    <row r="166" spans="1:17">
      <c r="A166" t="s">
        <v>334</v>
      </c>
      <c r="B166">
        <v>14</v>
      </c>
      <c r="C166" t="s">
        <v>205</v>
      </c>
      <c r="D166" t="s">
        <v>71</v>
      </c>
      <c r="E166" t="s">
        <v>166</v>
      </c>
      <c r="F166" t="s">
        <v>166</v>
      </c>
      <c r="G166" t="s">
        <v>85</v>
      </c>
      <c r="H166" t="s">
        <v>170</v>
      </c>
      <c r="I166" t="s">
        <v>174</v>
      </c>
      <c r="J166" t="s">
        <v>89</v>
      </c>
      <c r="L166">
        <v>4</v>
      </c>
      <c r="M166">
        <v>12.5</v>
      </c>
      <c r="N166">
        <v>8.5</v>
      </c>
      <c r="O166" s="19">
        <v>0</v>
      </c>
      <c r="P166">
        <v>4</v>
      </c>
      <c r="Q166" t="s">
        <v>410</v>
      </c>
    </row>
    <row r="167" spans="1:17">
      <c r="A167" t="s">
        <v>334</v>
      </c>
      <c r="B167">
        <v>14</v>
      </c>
      <c r="C167" t="s">
        <v>205</v>
      </c>
      <c r="D167" t="s">
        <v>66</v>
      </c>
      <c r="E167" t="s">
        <v>166</v>
      </c>
      <c r="F167" t="s">
        <v>166</v>
      </c>
      <c r="G167" t="s">
        <v>85</v>
      </c>
      <c r="H167" t="s">
        <v>167</v>
      </c>
      <c r="I167" t="s">
        <v>171</v>
      </c>
      <c r="J167" t="s">
        <v>89</v>
      </c>
      <c r="L167">
        <v>0</v>
      </c>
      <c r="M167">
        <v>7.5</v>
      </c>
      <c r="N167">
        <v>7.5</v>
      </c>
      <c r="O167" s="19">
        <v>0</v>
      </c>
      <c r="P167">
        <v>0</v>
      </c>
      <c r="Q167" t="s">
        <v>410</v>
      </c>
    </row>
    <row r="168" spans="1:17">
      <c r="A168" t="s">
        <v>334</v>
      </c>
      <c r="B168">
        <v>14</v>
      </c>
      <c r="C168" t="s">
        <v>205</v>
      </c>
      <c r="D168" t="s">
        <v>70</v>
      </c>
      <c r="E168" t="s">
        <v>166</v>
      </c>
      <c r="F168" t="s">
        <v>166</v>
      </c>
      <c r="G168" t="s">
        <v>85</v>
      </c>
      <c r="H168" t="s">
        <v>170</v>
      </c>
      <c r="I168" t="s">
        <v>174</v>
      </c>
      <c r="J168" t="s">
        <v>89</v>
      </c>
      <c r="L168">
        <v>5</v>
      </c>
      <c r="M168">
        <v>5</v>
      </c>
      <c r="N168">
        <v>0</v>
      </c>
      <c r="O168" s="19">
        <v>0</v>
      </c>
      <c r="P168">
        <v>5</v>
      </c>
      <c r="Q168" t="s">
        <v>410</v>
      </c>
    </row>
    <row r="169" spans="1:17">
      <c r="A169" t="s">
        <v>334</v>
      </c>
      <c r="B169">
        <v>14</v>
      </c>
      <c r="C169" t="s">
        <v>205</v>
      </c>
      <c r="D169" t="s">
        <v>62</v>
      </c>
      <c r="E169" t="s">
        <v>166</v>
      </c>
      <c r="F169" t="s">
        <v>166</v>
      </c>
      <c r="G169" t="s">
        <v>85</v>
      </c>
      <c r="H169" t="s">
        <v>169</v>
      </c>
      <c r="I169" t="s">
        <v>173</v>
      </c>
      <c r="J169" t="s">
        <v>89</v>
      </c>
      <c r="L169">
        <v>9</v>
      </c>
      <c r="M169">
        <v>21.5</v>
      </c>
      <c r="N169">
        <v>12.5</v>
      </c>
      <c r="O169" s="19">
        <v>2</v>
      </c>
      <c r="P169">
        <v>9</v>
      </c>
      <c r="Q169" t="s">
        <v>410</v>
      </c>
    </row>
    <row r="170" spans="1:17">
      <c r="A170" t="s">
        <v>334</v>
      </c>
      <c r="B170">
        <v>14</v>
      </c>
      <c r="C170" t="s">
        <v>205</v>
      </c>
      <c r="D170" t="s">
        <v>59</v>
      </c>
      <c r="E170" t="s">
        <v>166</v>
      </c>
      <c r="F170" t="s">
        <v>166</v>
      </c>
      <c r="G170" t="s">
        <v>85</v>
      </c>
      <c r="H170" t="s">
        <v>167</v>
      </c>
      <c r="I170" t="s">
        <v>171</v>
      </c>
      <c r="J170" t="s">
        <v>89</v>
      </c>
      <c r="L170">
        <v>7.5</v>
      </c>
      <c r="M170">
        <v>14</v>
      </c>
      <c r="N170">
        <v>6.5</v>
      </c>
      <c r="O170" s="19">
        <v>0</v>
      </c>
      <c r="P170">
        <v>7.5</v>
      </c>
      <c r="Q170" t="s">
        <v>410</v>
      </c>
    </row>
    <row r="171" spans="1:17">
      <c r="A171" t="s">
        <v>334</v>
      </c>
      <c r="B171">
        <v>14</v>
      </c>
      <c r="C171" t="s">
        <v>205</v>
      </c>
      <c r="D171" t="s">
        <v>110</v>
      </c>
      <c r="E171" t="s">
        <v>180</v>
      </c>
      <c r="F171" t="s">
        <v>180</v>
      </c>
      <c r="G171" t="s">
        <v>85</v>
      </c>
      <c r="H171" t="s">
        <v>181</v>
      </c>
      <c r="I171" t="s">
        <v>180</v>
      </c>
      <c r="J171" t="s">
        <v>89</v>
      </c>
      <c r="L171">
        <v>0</v>
      </c>
      <c r="M171">
        <v>0</v>
      </c>
      <c r="N171">
        <v>0</v>
      </c>
      <c r="O171" s="19">
        <v>0</v>
      </c>
      <c r="P171">
        <v>0</v>
      </c>
      <c r="Q171" t="s">
        <v>410</v>
      </c>
    </row>
    <row r="172" spans="1:17">
      <c r="A172" t="s">
        <v>334</v>
      </c>
      <c r="B172">
        <v>14</v>
      </c>
      <c r="C172" t="s">
        <v>205</v>
      </c>
      <c r="D172" t="s">
        <v>111</v>
      </c>
      <c r="E172" t="s">
        <v>180</v>
      </c>
      <c r="F172" t="s">
        <v>180</v>
      </c>
      <c r="G172" t="s">
        <v>86</v>
      </c>
      <c r="H172" t="s">
        <v>181</v>
      </c>
      <c r="I172" t="s">
        <v>180</v>
      </c>
      <c r="J172" t="s">
        <v>89</v>
      </c>
      <c r="L172">
        <v>3</v>
      </c>
      <c r="M172">
        <v>36</v>
      </c>
      <c r="N172">
        <v>33</v>
      </c>
      <c r="O172" s="19">
        <v>0</v>
      </c>
      <c r="P172">
        <v>3</v>
      </c>
      <c r="Q172" t="s">
        <v>410</v>
      </c>
    </row>
    <row r="173" spans="1:17">
      <c r="A173" t="s">
        <v>335</v>
      </c>
      <c r="B173">
        <v>15</v>
      </c>
      <c r="C173" t="s">
        <v>207</v>
      </c>
      <c r="D173" t="s">
        <v>69</v>
      </c>
      <c r="E173" t="s">
        <v>166</v>
      </c>
      <c r="F173" t="s">
        <v>166</v>
      </c>
      <c r="G173" t="s">
        <v>85</v>
      </c>
      <c r="H173" t="s">
        <v>168</v>
      </c>
      <c r="I173" t="s">
        <v>172</v>
      </c>
      <c r="J173" t="s">
        <v>89</v>
      </c>
      <c r="L173">
        <v>-9</v>
      </c>
      <c r="M173">
        <v>0.5</v>
      </c>
      <c r="N173">
        <v>9.5</v>
      </c>
      <c r="O173" s="19">
        <v>2</v>
      </c>
      <c r="P173">
        <v>-9</v>
      </c>
      <c r="Q173" t="s">
        <v>410</v>
      </c>
    </row>
    <row r="174" spans="1:17">
      <c r="A174" t="s">
        <v>335</v>
      </c>
      <c r="B174">
        <v>15</v>
      </c>
      <c r="C174" t="s">
        <v>207</v>
      </c>
      <c r="D174" t="s">
        <v>60</v>
      </c>
      <c r="E174" t="s">
        <v>166</v>
      </c>
      <c r="F174" t="s">
        <v>166</v>
      </c>
      <c r="G174" t="s">
        <v>85</v>
      </c>
      <c r="H174" t="s">
        <v>167</v>
      </c>
      <c r="I174" t="s">
        <v>171</v>
      </c>
      <c r="J174" t="s">
        <v>88</v>
      </c>
      <c r="K174" t="s">
        <v>176</v>
      </c>
      <c r="L174">
        <v>32</v>
      </c>
      <c r="M174">
        <v>32</v>
      </c>
      <c r="N174">
        <v>0</v>
      </c>
      <c r="O174" s="19">
        <v>0</v>
      </c>
      <c r="P174">
        <v>32</v>
      </c>
      <c r="Q174" t="s">
        <v>410</v>
      </c>
    </row>
    <row r="175" spans="1:17">
      <c r="A175" t="s">
        <v>335</v>
      </c>
      <c r="B175">
        <v>15</v>
      </c>
      <c r="C175" t="s">
        <v>207</v>
      </c>
      <c r="D175" t="s">
        <v>61</v>
      </c>
      <c r="E175" t="s">
        <v>166</v>
      </c>
      <c r="F175" t="s">
        <v>166</v>
      </c>
      <c r="G175" t="s">
        <v>85</v>
      </c>
      <c r="H175" t="s">
        <v>169</v>
      </c>
      <c r="I175" t="s">
        <v>173</v>
      </c>
      <c r="J175" t="s">
        <v>88</v>
      </c>
      <c r="K175" t="s">
        <v>177</v>
      </c>
      <c r="L175">
        <v>15.5</v>
      </c>
      <c r="M175">
        <v>22.5</v>
      </c>
      <c r="N175">
        <v>7</v>
      </c>
      <c r="O175" s="19">
        <v>2</v>
      </c>
      <c r="P175">
        <v>15.5</v>
      </c>
      <c r="Q175" t="s">
        <v>410</v>
      </c>
    </row>
    <row r="176" spans="1:17">
      <c r="A176" t="s">
        <v>335</v>
      </c>
      <c r="B176">
        <v>15</v>
      </c>
      <c r="C176" t="s">
        <v>207</v>
      </c>
      <c r="D176" t="s">
        <v>68</v>
      </c>
      <c r="E176" t="s">
        <v>166</v>
      </c>
      <c r="F176" t="s">
        <v>166</v>
      </c>
      <c r="G176" t="s">
        <v>85</v>
      </c>
      <c r="H176" t="s">
        <v>170</v>
      </c>
      <c r="I176" t="s">
        <v>174</v>
      </c>
      <c r="J176" t="s">
        <v>89</v>
      </c>
      <c r="L176">
        <v>2.5</v>
      </c>
      <c r="M176">
        <v>7</v>
      </c>
      <c r="N176">
        <v>4.5</v>
      </c>
      <c r="O176" s="19">
        <v>2</v>
      </c>
      <c r="P176">
        <v>2.5</v>
      </c>
      <c r="Q176" t="s">
        <v>410</v>
      </c>
    </row>
    <row r="177" spans="1:17">
      <c r="A177" t="s">
        <v>335</v>
      </c>
      <c r="B177">
        <v>15</v>
      </c>
      <c r="C177" t="s">
        <v>207</v>
      </c>
      <c r="D177" t="s">
        <v>65</v>
      </c>
      <c r="E177" t="s">
        <v>166</v>
      </c>
      <c r="F177" t="s">
        <v>166</v>
      </c>
      <c r="G177" t="s">
        <v>86</v>
      </c>
      <c r="H177" t="s">
        <v>170</v>
      </c>
      <c r="I177" t="s">
        <v>174</v>
      </c>
      <c r="J177" t="s">
        <v>89</v>
      </c>
      <c r="L177">
        <v>18</v>
      </c>
      <c r="M177">
        <v>24</v>
      </c>
      <c r="N177">
        <v>6</v>
      </c>
      <c r="O177" s="19">
        <v>0</v>
      </c>
      <c r="P177">
        <v>18</v>
      </c>
      <c r="Q177" t="s">
        <v>410</v>
      </c>
    </row>
    <row r="178" spans="1:17">
      <c r="A178" t="s">
        <v>335</v>
      </c>
      <c r="B178">
        <v>15</v>
      </c>
      <c r="C178" t="s">
        <v>207</v>
      </c>
      <c r="D178" t="s">
        <v>64</v>
      </c>
      <c r="E178" t="s">
        <v>166</v>
      </c>
      <c r="F178" t="s">
        <v>166</v>
      </c>
      <c r="G178" t="s">
        <v>85</v>
      </c>
      <c r="H178" t="s">
        <v>168</v>
      </c>
      <c r="I178" t="s">
        <v>172</v>
      </c>
      <c r="J178" t="s">
        <v>88</v>
      </c>
      <c r="K178" t="s">
        <v>178</v>
      </c>
      <c r="L178">
        <v>11.5</v>
      </c>
      <c r="M178">
        <v>23</v>
      </c>
      <c r="N178">
        <v>11.5</v>
      </c>
      <c r="O178" s="19">
        <v>2</v>
      </c>
      <c r="P178">
        <v>11.5</v>
      </c>
      <c r="Q178" t="s">
        <v>410</v>
      </c>
    </row>
    <row r="179" spans="1:17">
      <c r="A179" t="s">
        <v>335</v>
      </c>
      <c r="B179">
        <v>15</v>
      </c>
      <c r="C179" t="s">
        <v>207</v>
      </c>
      <c r="D179" t="s">
        <v>71</v>
      </c>
      <c r="E179" t="s">
        <v>166</v>
      </c>
      <c r="F179" t="s">
        <v>166</v>
      </c>
      <c r="G179" t="s">
        <v>85</v>
      </c>
      <c r="H179" t="s">
        <v>170</v>
      </c>
      <c r="I179" t="s">
        <v>174</v>
      </c>
      <c r="J179" t="s">
        <v>89</v>
      </c>
      <c r="L179">
        <v>9.5</v>
      </c>
      <c r="M179">
        <v>13.5</v>
      </c>
      <c r="N179">
        <v>4</v>
      </c>
      <c r="O179" s="19">
        <v>0</v>
      </c>
      <c r="P179">
        <v>9.5</v>
      </c>
      <c r="Q179" t="s">
        <v>410</v>
      </c>
    </row>
    <row r="180" spans="1:17">
      <c r="A180" t="s">
        <v>335</v>
      </c>
      <c r="B180">
        <v>15</v>
      </c>
      <c r="C180" t="s">
        <v>207</v>
      </c>
      <c r="D180" t="s">
        <v>129</v>
      </c>
      <c r="E180" t="s">
        <v>166</v>
      </c>
      <c r="F180" t="s">
        <v>166</v>
      </c>
      <c r="G180" t="s">
        <v>85</v>
      </c>
      <c r="H180" t="s">
        <v>170</v>
      </c>
      <c r="I180" t="s">
        <v>174</v>
      </c>
      <c r="J180" t="s">
        <v>89</v>
      </c>
      <c r="L180">
        <v>0</v>
      </c>
      <c r="M180">
        <v>2</v>
      </c>
      <c r="N180">
        <v>2</v>
      </c>
      <c r="O180" s="19">
        <v>2</v>
      </c>
      <c r="P180">
        <v>0</v>
      </c>
      <c r="Q180" t="s">
        <v>410</v>
      </c>
    </row>
    <row r="181" spans="1:17">
      <c r="A181" t="s">
        <v>335</v>
      </c>
      <c r="B181">
        <v>15</v>
      </c>
      <c r="C181" t="s">
        <v>207</v>
      </c>
      <c r="D181" t="s">
        <v>66</v>
      </c>
      <c r="E181" t="s">
        <v>166</v>
      </c>
      <c r="F181" t="s">
        <v>166</v>
      </c>
      <c r="G181" t="s">
        <v>85</v>
      </c>
      <c r="H181" t="s">
        <v>167</v>
      </c>
      <c r="I181" t="s">
        <v>171</v>
      </c>
      <c r="J181" t="s">
        <v>89</v>
      </c>
      <c r="L181">
        <v>15.5</v>
      </c>
      <c r="M181">
        <v>15.5</v>
      </c>
      <c r="N181">
        <v>0</v>
      </c>
      <c r="O181" s="19">
        <v>0</v>
      </c>
      <c r="P181">
        <v>15.5</v>
      </c>
      <c r="Q181" t="s">
        <v>410</v>
      </c>
    </row>
    <row r="182" spans="1:17">
      <c r="A182" t="s">
        <v>335</v>
      </c>
      <c r="B182">
        <v>15</v>
      </c>
      <c r="C182" t="s">
        <v>207</v>
      </c>
      <c r="D182" t="s">
        <v>70</v>
      </c>
      <c r="E182" t="s">
        <v>166</v>
      </c>
      <c r="F182" t="s">
        <v>166</v>
      </c>
      <c r="G182" t="s">
        <v>85</v>
      </c>
      <c r="H182" t="s">
        <v>170</v>
      </c>
      <c r="I182" t="s">
        <v>174</v>
      </c>
      <c r="J182" t="s">
        <v>89</v>
      </c>
      <c r="L182">
        <v>-1</v>
      </c>
      <c r="M182">
        <v>1</v>
      </c>
      <c r="N182">
        <v>2</v>
      </c>
      <c r="O182" s="19">
        <v>2</v>
      </c>
      <c r="P182">
        <v>-1</v>
      </c>
      <c r="Q182" t="s">
        <v>410</v>
      </c>
    </row>
    <row r="183" spans="1:17">
      <c r="A183" t="s">
        <v>335</v>
      </c>
      <c r="B183">
        <v>15</v>
      </c>
      <c r="C183" t="s">
        <v>207</v>
      </c>
      <c r="D183" t="s">
        <v>62</v>
      </c>
      <c r="E183" t="s">
        <v>166</v>
      </c>
      <c r="F183" t="s">
        <v>166</v>
      </c>
      <c r="G183" t="s">
        <v>85</v>
      </c>
      <c r="H183" t="s">
        <v>169</v>
      </c>
      <c r="I183" t="s">
        <v>173</v>
      </c>
      <c r="J183" t="s">
        <v>89</v>
      </c>
      <c r="L183">
        <v>9</v>
      </c>
      <c r="M183">
        <v>18</v>
      </c>
      <c r="N183">
        <v>9</v>
      </c>
      <c r="O183" s="19">
        <v>0</v>
      </c>
      <c r="P183">
        <v>9</v>
      </c>
      <c r="Q183" t="s">
        <v>410</v>
      </c>
    </row>
    <row r="184" spans="1:17">
      <c r="A184" t="s">
        <v>335</v>
      </c>
      <c r="B184">
        <v>15</v>
      </c>
      <c r="C184" t="s">
        <v>207</v>
      </c>
      <c r="D184" t="s">
        <v>59</v>
      </c>
      <c r="E184" t="s">
        <v>166</v>
      </c>
      <c r="F184" t="s">
        <v>166</v>
      </c>
      <c r="G184" t="s">
        <v>85</v>
      </c>
      <c r="H184" t="s">
        <v>167</v>
      </c>
      <c r="I184" t="s">
        <v>171</v>
      </c>
      <c r="J184" t="s">
        <v>89</v>
      </c>
      <c r="L184">
        <v>15</v>
      </c>
      <c r="M184">
        <v>23.5</v>
      </c>
      <c r="N184">
        <v>8.5</v>
      </c>
      <c r="O184" s="19">
        <v>2</v>
      </c>
      <c r="P184">
        <v>15</v>
      </c>
      <c r="Q184" t="s">
        <v>410</v>
      </c>
    </row>
    <row r="185" spans="1:17">
      <c r="A185" t="s">
        <v>335</v>
      </c>
      <c r="B185">
        <v>15</v>
      </c>
      <c r="C185" t="s">
        <v>207</v>
      </c>
      <c r="D185" t="s">
        <v>110</v>
      </c>
      <c r="E185" t="s">
        <v>180</v>
      </c>
      <c r="F185" t="s">
        <v>180</v>
      </c>
      <c r="G185" t="s">
        <v>85</v>
      </c>
      <c r="H185" t="s">
        <v>181</v>
      </c>
      <c r="I185" t="s">
        <v>180</v>
      </c>
      <c r="J185" t="s">
        <v>89</v>
      </c>
      <c r="L185">
        <v>0</v>
      </c>
      <c r="M185">
        <v>0</v>
      </c>
      <c r="N185">
        <v>0</v>
      </c>
      <c r="O185" s="19">
        <v>0</v>
      </c>
      <c r="P185">
        <v>0</v>
      </c>
      <c r="Q185" t="s">
        <v>410</v>
      </c>
    </row>
    <row r="186" spans="1:17">
      <c r="A186" t="s">
        <v>335</v>
      </c>
      <c r="B186">
        <v>15</v>
      </c>
      <c r="C186" t="s">
        <v>207</v>
      </c>
      <c r="D186" t="s">
        <v>111</v>
      </c>
      <c r="E186" t="s">
        <v>180</v>
      </c>
      <c r="F186" t="s">
        <v>180</v>
      </c>
      <c r="G186" t="s">
        <v>86</v>
      </c>
      <c r="H186" t="s">
        <v>181</v>
      </c>
      <c r="I186" t="s">
        <v>180</v>
      </c>
      <c r="J186" t="s">
        <v>89</v>
      </c>
      <c r="L186">
        <v>0</v>
      </c>
      <c r="M186">
        <v>24</v>
      </c>
      <c r="N186">
        <v>24</v>
      </c>
      <c r="O186" s="19">
        <v>0</v>
      </c>
      <c r="P186">
        <v>0</v>
      </c>
      <c r="Q186" t="s">
        <v>410</v>
      </c>
    </row>
    <row r="187" spans="1:17">
      <c r="A187" t="s">
        <v>336</v>
      </c>
      <c r="B187">
        <v>16</v>
      </c>
      <c r="C187" t="s">
        <v>208</v>
      </c>
      <c r="D187" t="s">
        <v>63</v>
      </c>
      <c r="E187" t="s">
        <v>166</v>
      </c>
      <c r="F187" t="s">
        <v>166</v>
      </c>
      <c r="G187" t="s">
        <v>85</v>
      </c>
      <c r="H187" t="s">
        <v>167</v>
      </c>
      <c r="I187" t="s">
        <v>171</v>
      </c>
      <c r="J187" t="s">
        <v>88</v>
      </c>
      <c r="K187" t="s">
        <v>175</v>
      </c>
      <c r="L187">
        <v>18</v>
      </c>
      <c r="M187">
        <v>20</v>
      </c>
      <c r="N187">
        <v>2</v>
      </c>
      <c r="O187" s="19">
        <v>0</v>
      </c>
      <c r="P187">
        <v>18</v>
      </c>
      <c r="Q187" t="s">
        <v>410</v>
      </c>
    </row>
    <row r="188" spans="1:17">
      <c r="A188" t="s">
        <v>336</v>
      </c>
      <c r="B188">
        <v>16</v>
      </c>
      <c r="C188" t="s">
        <v>208</v>
      </c>
      <c r="D188" t="s">
        <v>69</v>
      </c>
      <c r="E188" t="s">
        <v>166</v>
      </c>
      <c r="F188" t="s">
        <v>166</v>
      </c>
      <c r="G188" t="s">
        <v>85</v>
      </c>
      <c r="H188" t="s">
        <v>168</v>
      </c>
      <c r="I188" t="s">
        <v>172</v>
      </c>
      <c r="J188" t="s">
        <v>89</v>
      </c>
      <c r="L188">
        <v>6</v>
      </c>
      <c r="M188">
        <v>14.5</v>
      </c>
      <c r="N188">
        <v>8.5</v>
      </c>
      <c r="O188" s="19">
        <v>0</v>
      </c>
      <c r="P188">
        <v>6</v>
      </c>
      <c r="Q188" t="s">
        <v>410</v>
      </c>
    </row>
    <row r="189" spans="1:17">
      <c r="A189" t="s">
        <v>336</v>
      </c>
      <c r="B189">
        <v>16</v>
      </c>
      <c r="C189" t="s">
        <v>208</v>
      </c>
      <c r="D189" t="s">
        <v>60</v>
      </c>
      <c r="E189" t="s">
        <v>166</v>
      </c>
      <c r="F189" t="s">
        <v>166</v>
      </c>
      <c r="G189" t="s">
        <v>85</v>
      </c>
      <c r="H189" t="s">
        <v>167</v>
      </c>
      <c r="I189" t="s">
        <v>171</v>
      </c>
      <c r="J189" t="s">
        <v>88</v>
      </c>
      <c r="K189" t="s">
        <v>176</v>
      </c>
      <c r="L189">
        <v>33.5</v>
      </c>
      <c r="M189">
        <v>39.5</v>
      </c>
      <c r="N189">
        <v>6</v>
      </c>
      <c r="O189" s="19">
        <v>0</v>
      </c>
      <c r="P189">
        <v>33.5</v>
      </c>
      <c r="Q189" t="s">
        <v>410</v>
      </c>
    </row>
    <row r="190" spans="1:17">
      <c r="A190" t="s">
        <v>336</v>
      </c>
      <c r="B190">
        <v>16</v>
      </c>
      <c r="C190" t="s">
        <v>208</v>
      </c>
      <c r="D190" t="s">
        <v>68</v>
      </c>
      <c r="E190" t="s">
        <v>166</v>
      </c>
      <c r="F190" t="s">
        <v>166</v>
      </c>
      <c r="G190" t="s">
        <v>85</v>
      </c>
      <c r="H190" t="s">
        <v>170</v>
      </c>
      <c r="I190" t="s">
        <v>174</v>
      </c>
      <c r="J190" t="s">
        <v>89</v>
      </c>
      <c r="L190">
        <v>-1.5</v>
      </c>
      <c r="M190">
        <v>5.5</v>
      </c>
      <c r="N190">
        <v>7</v>
      </c>
      <c r="O190" s="19">
        <v>2</v>
      </c>
      <c r="P190">
        <v>-1.5</v>
      </c>
      <c r="Q190" t="s">
        <v>410</v>
      </c>
    </row>
    <row r="191" spans="1:17">
      <c r="A191" t="s">
        <v>336</v>
      </c>
      <c r="B191">
        <v>16</v>
      </c>
      <c r="C191" t="s">
        <v>208</v>
      </c>
      <c r="D191" t="s">
        <v>65</v>
      </c>
      <c r="E191" t="s">
        <v>166</v>
      </c>
      <c r="F191" t="s">
        <v>166</v>
      </c>
      <c r="G191" t="s">
        <v>86</v>
      </c>
      <c r="H191" t="s">
        <v>170</v>
      </c>
      <c r="I191" t="s">
        <v>174</v>
      </c>
      <c r="J191" t="s">
        <v>89</v>
      </c>
      <c r="L191">
        <v>-0.5</v>
      </c>
      <c r="M191">
        <v>6.5</v>
      </c>
      <c r="N191">
        <v>7</v>
      </c>
      <c r="O191" s="19">
        <v>0</v>
      </c>
      <c r="P191">
        <v>-0.5</v>
      </c>
      <c r="Q191" t="s">
        <v>410</v>
      </c>
    </row>
    <row r="192" spans="1:17">
      <c r="A192" t="s">
        <v>336</v>
      </c>
      <c r="B192">
        <v>16</v>
      </c>
      <c r="C192" t="s">
        <v>208</v>
      </c>
      <c r="D192" t="s">
        <v>64</v>
      </c>
      <c r="E192" t="s">
        <v>166</v>
      </c>
      <c r="F192" t="s">
        <v>166</v>
      </c>
      <c r="G192" t="s">
        <v>85</v>
      </c>
      <c r="H192" t="s">
        <v>168</v>
      </c>
      <c r="I192" t="s">
        <v>172</v>
      </c>
      <c r="J192" t="s">
        <v>88</v>
      </c>
      <c r="K192" t="s">
        <v>178</v>
      </c>
      <c r="L192">
        <v>-4</v>
      </c>
      <c r="M192">
        <v>5.5</v>
      </c>
      <c r="N192">
        <v>9.5</v>
      </c>
      <c r="O192" s="19">
        <v>0</v>
      </c>
      <c r="P192">
        <v>-4</v>
      </c>
      <c r="Q192" t="s">
        <v>410</v>
      </c>
    </row>
    <row r="193" spans="1:17">
      <c r="A193" t="s">
        <v>336</v>
      </c>
      <c r="B193">
        <v>16</v>
      </c>
      <c r="C193" t="s">
        <v>208</v>
      </c>
      <c r="D193" t="s">
        <v>71</v>
      </c>
      <c r="E193" t="s">
        <v>166</v>
      </c>
      <c r="F193" t="s">
        <v>166</v>
      </c>
      <c r="G193" t="s">
        <v>85</v>
      </c>
      <c r="H193" t="s">
        <v>170</v>
      </c>
      <c r="I193" t="s">
        <v>174</v>
      </c>
      <c r="J193" t="s">
        <v>89</v>
      </c>
      <c r="L193">
        <v>10.5</v>
      </c>
      <c r="M193">
        <v>10.5</v>
      </c>
      <c r="N193">
        <v>0</v>
      </c>
      <c r="O193" s="19">
        <v>0</v>
      </c>
      <c r="P193">
        <v>10.5</v>
      </c>
      <c r="Q193" t="s">
        <v>410</v>
      </c>
    </row>
    <row r="194" spans="1:17">
      <c r="A194" t="s">
        <v>336</v>
      </c>
      <c r="B194">
        <v>16</v>
      </c>
      <c r="C194" t="s">
        <v>208</v>
      </c>
      <c r="D194" t="s">
        <v>129</v>
      </c>
      <c r="E194" t="s">
        <v>166</v>
      </c>
      <c r="F194" t="s">
        <v>166</v>
      </c>
      <c r="G194" t="s">
        <v>85</v>
      </c>
      <c r="H194" t="s">
        <v>170</v>
      </c>
      <c r="I194" t="s">
        <v>174</v>
      </c>
      <c r="J194" t="s">
        <v>89</v>
      </c>
      <c r="L194">
        <v>0</v>
      </c>
      <c r="M194">
        <v>0</v>
      </c>
      <c r="N194">
        <v>0</v>
      </c>
      <c r="O194" s="19">
        <v>0</v>
      </c>
      <c r="P194">
        <v>0</v>
      </c>
      <c r="Q194" t="s">
        <v>410</v>
      </c>
    </row>
    <row r="195" spans="1:17">
      <c r="A195" t="s">
        <v>336</v>
      </c>
      <c r="B195">
        <v>16</v>
      </c>
      <c r="C195" t="s">
        <v>208</v>
      </c>
      <c r="D195" t="s">
        <v>66</v>
      </c>
      <c r="E195" t="s">
        <v>166</v>
      </c>
      <c r="F195" t="s">
        <v>166</v>
      </c>
      <c r="G195" t="s">
        <v>85</v>
      </c>
      <c r="H195" t="s">
        <v>167</v>
      </c>
      <c r="I195" t="s">
        <v>171</v>
      </c>
      <c r="J195" t="s">
        <v>89</v>
      </c>
      <c r="L195">
        <v>11</v>
      </c>
      <c r="M195">
        <v>11</v>
      </c>
      <c r="N195">
        <v>0</v>
      </c>
      <c r="O195" s="19">
        <v>0</v>
      </c>
      <c r="P195">
        <v>11</v>
      </c>
      <c r="Q195" t="s">
        <v>410</v>
      </c>
    </row>
    <row r="196" spans="1:17">
      <c r="A196" t="s">
        <v>336</v>
      </c>
      <c r="B196">
        <v>16</v>
      </c>
      <c r="C196" t="s">
        <v>208</v>
      </c>
      <c r="D196" t="s">
        <v>70</v>
      </c>
      <c r="E196" t="s">
        <v>166</v>
      </c>
      <c r="F196" t="s">
        <v>166</v>
      </c>
      <c r="G196" t="s">
        <v>85</v>
      </c>
      <c r="H196" t="s">
        <v>170</v>
      </c>
      <c r="I196" t="s">
        <v>174</v>
      </c>
      <c r="J196" t="s">
        <v>89</v>
      </c>
      <c r="L196">
        <v>4</v>
      </c>
      <c r="M196">
        <v>4</v>
      </c>
      <c r="N196">
        <v>0</v>
      </c>
      <c r="O196" s="19">
        <v>0</v>
      </c>
      <c r="P196">
        <v>4</v>
      </c>
      <c r="Q196" t="s">
        <v>410</v>
      </c>
    </row>
    <row r="197" spans="1:17">
      <c r="A197" t="s">
        <v>336</v>
      </c>
      <c r="B197">
        <v>16</v>
      </c>
      <c r="C197" t="s">
        <v>208</v>
      </c>
      <c r="D197" t="s">
        <v>62</v>
      </c>
      <c r="E197" t="s">
        <v>166</v>
      </c>
      <c r="F197" t="s">
        <v>166</v>
      </c>
      <c r="G197" t="s">
        <v>85</v>
      </c>
      <c r="H197" t="s">
        <v>169</v>
      </c>
      <c r="I197" t="s">
        <v>173</v>
      </c>
      <c r="J197" t="s">
        <v>89</v>
      </c>
      <c r="L197">
        <v>13.5</v>
      </c>
      <c r="M197">
        <v>18</v>
      </c>
      <c r="N197">
        <v>4.5</v>
      </c>
      <c r="O197" s="19">
        <v>0</v>
      </c>
      <c r="P197">
        <v>13.5</v>
      </c>
      <c r="Q197" t="s">
        <v>410</v>
      </c>
    </row>
    <row r="198" spans="1:17">
      <c r="A198" t="s">
        <v>336</v>
      </c>
      <c r="B198">
        <v>16</v>
      </c>
      <c r="C198" t="s">
        <v>208</v>
      </c>
      <c r="D198" t="s">
        <v>59</v>
      </c>
      <c r="E198" t="s">
        <v>166</v>
      </c>
      <c r="F198" t="s">
        <v>166</v>
      </c>
      <c r="G198" t="s">
        <v>85</v>
      </c>
      <c r="H198" t="s">
        <v>167</v>
      </c>
      <c r="I198" t="s">
        <v>171</v>
      </c>
      <c r="J198" t="s">
        <v>89</v>
      </c>
      <c r="L198">
        <v>13.5</v>
      </c>
      <c r="M198">
        <v>22.5</v>
      </c>
      <c r="N198">
        <v>9</v>
      </c>
      <c r="O198" s="19">
        <v>2</v>
      </c>
      <c r="P198">
        <v>13.5</v>
      </c>
      <c r="Q198" t="s">
        <v>410</v>
      </c>
    </row>
    <row r="199" spans="1:17">
      <c r="A199" t="s">
        <v>336</v>
      </c>
      <c r="B199">
        <v>16</v>
      </c>
      <c r="C199" t="s">
        <v>208</v>
      </c>
      <c r="D199" t="s">
        <v>110</v>
      </c>
      <c r="E199" t="s">
        <v>180</v>
      </c>
      <c r="F199" t="s">
        <v>180</v>
      </c>
      <c r="G199" t="s">
        <v>85</v>
      </c>
      <c r="H199" t="s">
        <v>181</v>
      </c>
      <c r="I199" t="s">
        <v>180</v>
      </c>
      <c r="J199" t="s">
        <v>89</v>
      </c>
      <c r="L199">
        <v>0</v>
      </c>
      <c r="M199">
        <v>0</v>
      </c>
      <c r="N199">
        <v>0</v>
      </c>
      <c r="O199" s="19">
        <v>0</v>
      </c>
      <c r="P199">
        <v>0</v>
      </c>
      <c r="Q199" t="s">
        <v>410</v>
      </c>
    </row>
    <row r="200" spans="1:17">
      <c r="A200" t="s">
        <v>336</v>
      </c>
      <c r="B200">
        <v>16</v>
      </c>
      <c r="C200" t="s">
        <v>208</v>
      </c>
      <c r="D200" t="s">
        <v>111</v>
      </c>
      <c r="E200" t="s">
        <v>180</v>
      </c>
      <c r="F200" t="s">
        <v>180</v>
      </c>
      <c r="G200" t="s">
        <v>86</v>
      </c>
      <c r="H200" t="s">
        <v>181</v>
      </c>
      <c r="I200" t="s">
        <v>180</v>
      </c>
      <c r="J200" t="s">
        <v>89</v>
      </c>
      <c r="L200">
        <v>-11</v>
      </c>
      <c r="M200">
        <v>27</v>
      </c>
      <c r="N200">
        <v>38</v>
      </c>
      <c r="O200" s="19">
        <v>2</v>
      </c>
      <c r="P200">
        <v>-11</v>
      </c>
      <c r="Q200" t="s">
        <v>410</v>
      </c>
    </row>
    <row r="201" spans="1:17">
      <c r="A201" t="s">
        <v>337</v>
      </c>
      <c r="B201">
        <v>17</v>
      </c>
      <c r="C201" t="s">
        <v>209</v>
      </c>
      <c r="D201" t="s">
        <v>63</v>
      </c>
      <c r="E201" t="s">
        <v>166</v>
      </c>
      <c r="F201" t="s">
        <v>166</v>
      </c>
      <c r="G201" t="s">
        <v>85</v>
      </c>
      <c r="H201" t="s">
        <v>167</v>
      </c>
      <c r="I201" t="s">
        <v>171</v>
      </c>
      <c r="J201" t="s">
        <v>88</v>
      </c>
      <c r="K201" t="s">
        <v>175</v>
      </c>
      <c r="L201">
        <v>1</v>
      </c>
      <c r="M201">
        <v>7</v>
      </c>
      <c r="N201">
        <v>6</v>
      </c>
      <c r="O201" s="19">
        <v>4</v>
      </c>
      <c r="P201">
        <v>1</v>
      </c>
      <c r="Q201" t="s">
        <v>410</v>
      </c>
    </row>
    <row r="202" spans="1:17">
      <c r="A202" t="s">
        <v>337</v>
      </c>
      <c r="B202">
        <v>17</v>
      </c>
      <c r="C202" t="s">
        <v>209</v>
      </c>
      <c r="D202" t="s">
        <v>69</v>
      </c>
      <c r="E202" t="s">
        <v>166</v>
      </c>
      <c r="F202" t="s">
        <v>166</v>
      </c>
      <c r="G202" t="s">
        <v>85</v>
      </c>
      <c r="H202" t="s">
        <v>168</v>
      </c>
      <c r="I202" t="s">
        <v>172</v>
      </c>
      <c r="J202" t="s">
        <v>89</v>
      </c>
      <c r="L202">
        <v>6</v>
      </c>
      <c r="M202">
        <v>10</v>
      </c>
      <c r="N202">
        <v>4</v>
      </c>
      <c r="O202" s="19">
        <v>2</v>
      </c>
      <c r="P202">
        <v>6</v>
      </c>
      <c r="Q202" t="s">
        <v>410</v>
      </c>
    </row>
    <row r="203" spans="1:17">
      <c r="A203" t="s">
        <v>337</v>
      </c>
      <c r="B203">
        <v>17</v>
      </c>
      <c r="C203" t="s">
        <v>209</v>
      </c>
      <c r="D203" t="s">
        <v>60</v>
      </c>
      <c r="E203" t="s">
        <v>166</v>
      </c>
      <c r="F203" t="s">
        <v>166</v>
      </c>
      <c r="G203" t="s">
        <v>85</v>
      </c>
      <c r="H203" t="s">
        <v>167</v>
      </c>
      <c r="I203" t="s">
        <v>171</v>
      </c>
      <c r="J203" t="s">
        <v>88</v>
      </c>
      <c r="K203" t="s">
        <v>176</v>
      </c>
      <c r="L203">
        <v>39.5</v>
      </c>
      <c r="M203">
        <v>41.5</v>
      </c>
      <c r="N203">
        <v>2</v>
      </c>
      <c r="O203" s="19">
        <v>2</v>
      </c>
      <c r="P203">
        <v>39.5</v>
      </c>
      <c r="Q203" t="s">
        <v>410</v>
      </c>
    </row>
    <row r="204" spans="1:17">
      <c r="A204" t="s">
        <v>337</v>
      </c>
      <c r="B204">
        <v>17</v>
      </c>
      <c r="C204" t="s">
        <v>209</v>
      </c>
      <c r="D204" t="s">
        <v>127</v>
      </c>
      <c r="E204" t="s">
        <v>166</v>
      </c>
      <c r="F204" t="s">
        <v>166</v>
      </c>
      <c r="G204" t="s">
        <v>85</v>
      </c>
      <c r="H204" t="s">
        <v>169</v>
      </c>
      <c r="I204" t="s">
        <v>173</v>
      </c>
      <c r="J204" t="s">
        <v>89</v>
      </c>
      <c r="L204">
        <v>9.5</v>
      </c>
      <c r="M204">
        <v>9.5</v>
      </c>
      <c r="N204">
        <v>0</v>
      </c>
      <c r="O204" s="19">
        <v>0</v>
      </c>
      <c r="P204">
        <v>9.5</v>
      </c>
      <c r="Q204" t="s">
        <v>410</v>
      </c>
    </row>
    <row r="205" spans="1:17">
      <c r="A205" t="s">
        <v>337</v>
      </c>
      <c r="B205">
        <v>17</v>
      </c>
      <c r="C205" t="s">
        <v>209</v>
      </c>
      <c r="D205" t="s">
        <v>61</v>
      </c>
      <c r="E205" t="s">
        <v>166</v>
      </c>
      <c r="F205" t="s">
        <v>166</v>
      </c>
      <c r="G205" t="s">
        <v>85</v>
      </c>
      <c r="H205" t="s">
        <v>169</v>
      </c>
      <c r="I205" t="s">
        <v>173</v>
      </c>
      <c r="J205" t="s">
        <v>88</v>
      </c>
      <c r="K205" t="s">
        <v>177</v>
      </c>
      <c r="L205">
        <v>15.5</v>
      </c>
      <c r="M205">
        <v>19.5</v>
      </c>
      <c r="N205">
        <v>4</v>
      </c>
      <c r="O205" s="19">
        <v>2</v>
      </c>
      <c r="P205">
        <v>15.5</v>
      </c>
      <c r="Q205" t="s">
        <v>410</v>
      </c>
    </row>
    <row r="206" spans="1:17">
      <c r="A206" t="s">
        <v>337</v>
      </c>
      <c r="B206">
        <v>17</v>
      </c>
      <c r="C206" t="s">
        <v>209</v>
      </c>
      <c r="D206" t="s">
        <v>68</v>
      </c>
      <c r="E206" t="s">
        <v>166</v>
      </c>
      <c r="F206" t="s">
        <v>166</v>
      </c>
      <c r="G206" t="s">
        <v>85</v>
      </c>
      <c r="H206" t="s">
        <v>170</v>
      </c>
      <c r="I206" t="s">
        <v>174</v>
      </c>
      <c r="J206" t="s">
        <v>89</v>
      </c>
      <c r="L206">
        <v>-3.5</v>
      </c>
      <c r="M206">
        <v>4</v>
      </c>
      <c r="N206">
        <v>7.5</v>
      </c>
      <c r="O206" s="19">
        <v>0</v>
      </c>
      <c r="P206">
        <v>-3.5</v>
      </c>
      <c r="Q206" t="s">
        <v>410</v>
      </c>
    </row>
    <row r="207" spans="1:17">
      <c r="A207" t="s">
        <v>337</v>
      </c>
      <c r="B207">
        <v>17</v>
      </c>
      <c r="C207" t="s">
        <v>209</v>
      </c>
      <c r="D207" t="s">
        <v>65</v>
      </c>
      <c r="E207" t="s">
        <v>166</v>
      </c>
      <c r="F207" t="s">
        <v>166</v>
      </c>
      <c r="G207" t="s">
        <v>86</v>
      </c>
      <c r="H207" t="s">
        <v>170</v>
      </c>
      <c r="I207" t="s">
        <v>174</v>
      </c>
      <c r="J207" t="s">
        <v>89</v>
      </c>
      <c r="L207">
        <v>6.5</v>
      </c>
      <c r="M207">
        <v>8.5</v>
      </c>
      <c r="N207">
        <v>2</v>
      </c>
      <c r="O207" s="19">
        <v>0</v>
      </c>
      <c r="P207">
        <v>6.5</v>
      </c>
      <c r="Q207" t="s">
        <v>410</v>
      </c>
    </row>
    <row r="208" spans="1:17">
      <c r="A208" t="s">
        <v>337</v>
      </c>
      <c r="B208">
        <v>17</v>
      </c>
      <c r="C208" t="s">
        <v>209</v>
      </c>
      <c r="D208" t="s">
        <v>128</v>
      </c>
      <c r="E208" t="s">
        <v>166</v>
      </c>
      <c r="F208" t="s">
        <v>166</v>
      </c>
      <c r="G208" t="s">
        <v>85</v>
      </c>
      <c r="H208" t="s">
        <v>167</v>
      </c>
      <c r="I208" t="s">
        <v>171</v>
      </c>
      <c r="J208" t="s">
        <v>89</v>
      </c>
      <c r="L208">
        <v>0</v>
      </c>
      <c r="M208">
        <v>0</v>
      </c>
      <c r="N208">
        <v>0</v>
      </c>
      <c r="O208" s="19">
        <v>0</v>
      </c>
      <c r="P208">
        <v>0</v>
      </c>
      <c r="Q208" t="s">
        <v>410</v>
      </c>
    </row>
    <row r="209" spans="1:17">
      <c r="A209" t="s">
        <v>337</v>
      </c>
      <c r="B209">
        <v>17</v>
      </c>
      <c r="C209" t="s">
        <v>209</v>
      </c>
      <c r="D209" t="s">
        <v>71</v>
      </c>
      <c r="E209" t="s">
        <v>166</v>
      </c>
      <c r="F209" t="s">
        <v>166</v>
      </c>
      <c r="G209" t="s">
        <v>85</v>
      </c>
      <c r="H209" t="s">
        <v>170</v>
      </c>
      <c r="I209" t="s">
        <v>174</v>
      </c>
      <c r="J209" t="s">
        <v>89</v>
      </c>
      <c r="L209">
        <v>5</v>
      </c>
      <c r="M209">
        <v>9.5</v>
      </c>
      <c r="N209">
        <v>4.5</v>
      </c>
      <c r="O209" s="19">
        <v>0</v>
      </c>
      <c r="P209">
        <v>5</v>
      </c>
      <c r="Q209" t="s">
        <v>410</v>
      </c>
    </row>
    <row r="210" spans="1:17">
      <c r="A210" t="s">
        <v>337</v>
      </c>
      <c r="B210">
        <v>17</v>
      </c>
      <c r="C210" t="s">
        <v>209</v>
      </c>
      <c r="D210" t="s">
        <v>130</v>
      </c>
      <c r="E210" t="s">
        <v>166</v>
      </c>
      <c r="F210" t="s">
        <v>166</v>
      </c>
      <c r="G210" t="s">
        <v>85</v>
      </c>
      <c r="H210" t="s">
        <v>168</v>
      </c>
      <c r="I210" t="s">
        <v>172</v>
      </c>
      <c r="J210" t="s">
        <v>89</v>
      </c>
      <c r="L210">
        <v>-1</v>
      </c>
      <c r="M210">
        <v>3</v>
      </c>
      <c r="N210">
        <v>4</v>
      </c>
      <c r="O210" s="19">
        <v>2</v>
      </c>
      <c r="P210">
        <v>-1</v>
      </c>
      <c r="Q210" t="s">
        <v>410</v>
      </c>
    </row>
    <row r="211" spans="1:17">
      <c r="A211" t="s">
        <v>337</v>
      </c>
      <c r="B211">
        <v>17</v>
      </c>
      <c r="C211" t="s">
        <v>209</v>
      </c>
      <c r="D211" t="s">
        <v>70</v>
      </c>
      <c r="E211" t="s">
        <v>166</v>
      </c>
      <c r="F211" t="s">
        <v>166</v>
      </c>
      <c r="G211" t="s">
        <v>85</v>
      </c>
      <c r="H211" t="s">
        <v>170</v>
      </c>
      <c r="I211" t="s">
        <v>174</v>
      </c>
      <c r="J211" t="s">
        <v>89</v>
      </c>
      <c r="L211">
        <v>6</v>
      </c>
      <c r="M211">
        <v>6</v>
      </c>
      <c r="N211">
        <v>0</v>
      </c>
      <c r="O211" s="19">
        <v>0</v>
      </c>
      <c r="P211">
        <v>6</v>
      </c>
      <c r="Q211" t="s">
        <v>410</v>
      </c>
    </row>
    <row r="212" spans="1:17">
      <c r="A212" t="s">
        <v>337</v>
      </c>
      <c r="B212">
        <v>17</v>
      </c>
      <c r="C212" t="s">
        <v>209</v>
      </c>
      <c r="D212" t="s">
        <v>59</v>
      </c>
      <c r="E212" t="s">
        <v>166</v>
      </c>
      <c r="F212" t="s">
        <v>166</v>
      </c>
      <c r="G212" t="s">
        <v>85</v>
      </c>
      <c r="H212" t="s">
        <v>167</v>
      </c>
      <c r="I212" t="s">
        <v>171</v>
      </c>
      <c r="J212" t="s">
        <v>89</v>
      </c>
      <c r="L212">
        <v>24.5</v>
      </c>
      <c r="M212">
        <v>28.5</v>
      </c>
      <c r="N212">
        <v>4</v>
      </c>
      <c r="O212" s="19">
        <v>4</v>
      </c>
      <c r="P212">
        <v>24.5</v>
      </c>
      <c r="Q212" t="s">
        <v>410</v>
      </c>
    </row>
    <row r="213" spans="1:17">
      <c r="A213" t="s">
        <v>337</v>
      </c>
      <c r="B213">
        <v>17</v>
      </c>
      <c r="C213" t="s">
        <v>209</v>
      </c>
      <c r="D213" t="s">
        <v>110</v>
      </c>
      <c r="E213" t="s">
        <v>180</v>
      </c>
      <c r="F213" t="s">
        <v>180</v>
      </c>
      <c r="G213" t="s">
        <v>85</v>
      </c>
      <c r="H213" t="s">
        <v>181</v>
      </c>
      <c r="I213" t="s">
        <v>180</v>
      </c>
      <c r="J213" t="s">
        <v>89</v>
      </c>
      <c r="L213">
        <v>0</v>
      </c>
      <c r="M213">
        <v>0</v>
      </c>
      <c r="N213">
        <v>0</v>
      </c>
      <c r="O213" s="19">
        <v>0</v>
      </c>
      <c r="P213">
        <v>0</v>
      </c>
      <c r="Q213" t="s">
        <v>410</v>
      </c>
    </row>
    <row r="214" spans="1:17">
      <c r="A214" t="s">
        <v>337</v>
      </c>
      <c r="B214">
        <v>17</v>
      </c>
      <c r="C214" t="s">
        <v>209</v>
      </c>
      <c r="D214" t="s">
        <v>111</v>
      </c>
      <c r="E214" t="s">
        <v>180</v>
      </c>
      <c r="F214" t="s">
        <v>180</v>
      </c>
      <c r="G214" t="s">
        <v>86</v>
      </c>
      <c r="H214" t="s">
        <v>181</v>
      </c>
      <c r="I214" t="s">
        <v>180</v>
      </c>
      <c r="J214" t="s">
        <v>89</v>
      </c>
      <c r="L214">
        <v>18</v>
      </c>
      <c r="M214">
        <v>48</v>
      </c>
      <c r="N214">
        <v>30</v>
      </c>
      <c r="O214" s="19">
        <v>0</v>
      </c>
      <c r="P214">
        <v>18</v>
      </c>
      <c r="Q214" t="s">
        <v>410</v>
      </c>
    </row>
    <row r="215" spans="1:17">
      <c r="A215" t="s">
        <v>338</v>
      </c>
      <c r="B215">
        <v>18</v>
      </c>
      <c r="C215" t="s">
        <v>210</v>
      </c>
      <c r="D215" t="s">
        <v>63</v>
      </c>
      <c r="E215" t="s">
        <v>166</v>
      </c>
      <c r="F215" t="s">
        <v>166</v>
      </c>
      <c r="G215" t="s">
        <v>85</v>
      </c>
      <c r="H215" t="s">
        <v>167</v>
      </c>
      <c r="I215" t="s">
        <v>171</v>
      </c>
      <c r="J215" t="s">
        <v>88</v>
      </c>
      <c r="K215" t="s">
        <v>175</v>
      </c>
      <c r="L215">
        <v>14.5</v>
      </c>
      <c r="M215">
        <v>21.5</v>
      </c>
      <c r="N215">
        <v>7</v>
      </c>
      <c r="O215" s="19">
        <v>2</v>
      </c>
      <c r="P215">
        <v>14.5</v>
      </c>
      <c r="Q215" t="s">
        <v>410</v>
      </c>
    </row>
    <row r="216" spans="1:17">
      <c r="A216" t="s">
        <v>338</v>
      </c>
      <c r="B216">
        <v>18</v>
      </c>
      <c r="C216" t="s">
        <v>210</v>
      </c>
      <c r="D216" t="s">
        <v>69</v>
      </c>
      <c r="E216" t="s">
        <v>166</v>
      </c>
      <c r="F216" t="s">
        <v>166</v>
      </c>
      <c r="G216" t="s">
        <v>85</v>
      </c>
      <c r="H216" t="s">
        <v>168</v>
      </c>
      <c r="I216" t="s">
        <v>172</v>
      </c>
      <c r="J216" t="s">
        <v>89</v>
      </c>
      <c r="L216">
        <v>2</v>
      </c>
      <c r="M216">
        <v>8.5</v>
      </c>
      <c r="N216">
        <v>6.5</v>
      </c>
      <c r="O216" s="19">
        <v>2</v>
      </c>
      <c r="P216">
        <v>2</v>
      </c>
      <c r="Q216" t="s">
        <v>410</v>
      </c>
    </row>
    <row r="217" spans="1:17">
      <c r="A217" t="s">
        <v>338</v>
      </c>
      <c r="B217">
        <v>18</v>
      </c>
      <c r="C217" t="s">
        <v>210</v>
      </c>
      <c r="D217" t="s">
        <v>60</v>
      </c>
      <c r="E217" t="s">
        <v>166</v>
      </c>
      <c r="F217" t="s">
        <v>166</v>
      </c>
      <c r="G217" t="s">
        <v>85</v>
      </c>
      <c r="H217" t="s">
        <v>167</v>
      </c>
      <c r="I217" t="s">
        <v>171</v>
      </c>
      <c r="J217" t="s">
        <v>88</v>
      </c>
      <c r="K217" t="s">
        <v>176</v>
      </c>
      <c r="L217">
        <v>20.5</v>
      </c>
      <c r="M217">
        <v>28</v>
      </c>
      <c r="N217">
        <v>7.5</v>
      </c>
      <c r="O217" s="19">
        <v>0</v>
      </c>
      <c r="P217">
        <v>20.5</v>
      </c>
      <c r="Q217" t="s">
        <v>410</v>
      </c>
    </row>
    <row r="218" spans="1:17">
      <c r="A218" t="s">
        <v>338</v>
      </c>
      <c r="B218">
        <v>18</v>
      </c>
      <c r="C218" t="s">
        <v>210</v>
      </c>
      <c r="D218" t="s">
        <v>61</v>
      </c>
      <c r="E218" t="s">
        <v>166</v>
      </c>
      <c r="F218" t="s">
        <v>166</v>
      </c>
      <c r="G218" t="s">
        <v>85</v>
      </c>
      <c r="H218" t="s">
        <v>169</v>
      </c>
      <c r="I218" t="s">
        <v>173</v>
      </c>
      <c r="J218" t="s">
        <v>88</v>
      </c>
      <c r="K218" t="s">
        <v>177</v>
      </c>
      <c r="L218">
        <v>10</v>
      </c>
      <c r="M218">
        <v>18</v>
      </c>
      <c r="N218">
        <v>8</v>
      </c>
      <c r="O218" s="19">
        <v>2</v>
      </c>
      <c r="P218">
        <v>10</v>
      </c>
      <c r="Q218" t="s">
        <v>410</v>
      </c>
    </row>
    <row r="219" spans="1:17">
      <c r="A219" t="s">
        <v>338</v>
      </c>
      <c r="B219">
        <v>18</v>
      </c>
      <c r="C219" t="s">
        <v>210</v>
      </c>
      <c r="D219" t="s">
        <v>68</v>
      </c>
      <c r="E219" t="s">
        <v>166</v>
      </c>
      <c r="F219" t="s">
        <v>166</v>
      </c>
      <c r="G219" t="s">
        <v>85</v>
      </c>
      <c r="H219" t="s">
        <v>170</v>
      </c>
      <c r="I219" t="s">
        <v>174</v>
      </c>
      <c r="J219" t="s">
        <v>89</v>
      </c>
      <c r="L219">
        <v>7.5</v>
      </c>
      <c r="M219">
        <v>7.5</v>
      </c>
      <c r="N219">
        <v>0</v>
      </c>
      <c r="O219" s="19">
        <v>0</v>
      </c>
      <c r="P219">
        <v>7.5</v>
      </c>
      <c r="Q219" t="s">
        <v>410</v>
      </c>
    </row>
    <row r="220" spans="1:17">
      <c r="A220" t="s">
        <v>338</v>
      </c>
      <c r="B220">
        <v>18</v>
      </c>
      <c r="C220" t="s">
        <v>210</v>
      </c>
      <c r="D220" t="s">
        <v>65</v>
      </c>
      <c r="E220" t="s">
        <v>166</v>
      </c>
      <c r="F220" t="s">
        <v>166</v>
      </c>
      <c r="G220" t="s">
        <v>86</v>
      </c>
      <c r="H220" t="s">
        <v>170</v>
      </c>
      <c r="I220" t="s">
        <v>174</v>
      </c>
      <c r="J220" t="s">
        <v>89</v>
      </c>
      <c r="L220">
        <v>5.5</v>
      </c>
      <c r="M220">
        <v>14.5</v>
      </c>
      <c r="N220">
        <v>9</v>
      </c>
      <c r="O220" s="19">
        <v>0</v>
      </c>
      <c r="P220">
        <v>5.5</v>
      </c>
      <c r="Q220" t="s">
        <v>410</v>
      </c>
    </row>
    <row r="221" spans="1:17">
      <c r="A221" t="s">
        <v>338</v>
      </c>
      <c r="B221">
        <v>18</v>
      </c>
      <c r="C221" t="s">
        <v>210</v>
      </c>
      <c r="D221" t="s">
        <v>64</v>
      </c>
      <c r="E221" t="s">
        <v>166</v>
      </c>
      <c r="F221" t="s">
        <v>166</v>
      </c>
      <c r="G221" t="s">
        <v>85</v>
      </c>
      <c r="H221" t="s">
        <v>168</v>
      </c>
      <c r="I221" t="s">
        <v>172</v>
      </c>
      <c r="J221" t="s">
        <v>88</v>
      </c>
      <c r="K221" t="s">
        <v>178</v>
      </c>
      <c r="L221">
        <v>12</v>
      </c>
      <c r="M221">
        <v>14.5</v>
      </c>
      <c r="N221">
        <v>2.5</v>
      </c>
      <c r="O221" s="19">
        <v>0</v>
      </c>
      <c r="P221">
        <v>12</v>
      </c>
      <c r="Q221" t="s">
        <v>410</v>
      </c>
    </row>
    <row r="222" spans="1:17">
      <c r="A222" t="s">
        <v>338</v>
      </c>
      <c r="B222">
        <v>18</v>
      </c>
      <c r="C222" t="s">
        <v>210</v>
      </c>
      <c r="D222" t="s">
        <v>71</v>
      </c>
      <c r="E222" t="s">
        <v>166</v>
      </c>
      <c r="F222" t="s">
        <v>166</v>
      </c>
      <c r="G222" t="s">
        <v>85</v>
      </c>
      <c r="H222" t="s">
        <v>170</v>
      </c>
      <c r="I222" t="s">
        <v>174</v>
      </c>
      <c r="J222" t="s">
        <v>89</v>
      </c>
      <c r="L222">
        <v>16</v>
      </c>
      <c r="M222">
        <v>18</v>
      </c>
      <c r="N222">
        <v>2</v>
      </c>
      <c r="O222" s="19">
        <v>2</v>
      </c>
      <c r="P222">
        <v>16</v>
      </c>
      <c r="Q222" t="s">
        <v>410</v>
      </c>
    </row>
    <row r="223" spans="1:17">
      <c r="A223" t="s">
        <v>338</v>
      </c>
      <c r="B223">
        <v>18</v>
      </c>
      <c r="C223" t="s">
        <v>210</v>
      </c>
      <c r="D223" t="s">
        <v>66</v>
      </c>
      <c r="E223" t="s">
        <v>166</v>
      </c>
      <c r="F223" t="s">
        <v>166</v>
      </c>
      <c r="G223" t="s">
        <v>85</v>
      </c>
      <c r="H223" t="s">
        <v>167</v>
      </c>
      <c r="I223" t="s">
        <v>171</v>
      </c>
      <c r="J223" t="s">
        <v>89</v>
      </c>
      <c r="L223">
        <v>3.5</v>
      </c>
      <c r="M223">
        <v>5.5</v>
      </c>
      <c r="N223">
        <v>2</v>
      </c>
      <c r="O223" s="19">
        <v>2</v>
      </c>
      <c r="P223">
        <v>3.5</v>
      </c>
      <c r="Q223" t="s">
        <v>410</v>
      </c>
    </row>
    <row r="224" spans="1:17">
      <c r="A224" t="s">
        <v>338</v>
      </c>
      <c r="B224">
        <v>18</v>
      </c>
      <c r="C224" t="s">
        <v>210</v>
      </c>
      <c r="D224" t="s">
        <v>70</v>
      </c>
      <c r="E224" t="s">
        <v>166</v>
      </c>
      <c r="F224" t="s">
        <v>166</v>
      </c>
      <c r="G224" t="s">
        <v>85</v>
      </c>
      <c r="H224" t="s">
        <v>170</v>
      </c>
      <c r="I224" t="s">
        <v>174</v>
      </c>
      <c r="J224" t="s">
        <v>89</v>
      </c>
      <c r="L224">
        <v>14</v>
      </c>
      <c r="M224">
        <v>18.5</v>
      </c>
      <c r="N224">
        <v>4.5</v>
      </c>
      <c r="O224" s="19">
        <v>2</v>
      </c>
      <c r="P224">
        <v>14</v>
      </c>
      <c r="Q224" t="s">
        <v>410</v>
      </c>
    </row>
    <row r="225" spans="1:17">
      <c r="A225" t="s">
        <v>338</v>
      </c>
      <c r="B225">
        <v>18</v>
      </c>
      <c r="C225" t="s">
        <v>210</v>
      </c>
      <c r="D225" t="s">
        <v>62</v>
      </c>
      <c r="E225" t="s">
        <v>166</v>
      </c>
      <c r="F225" t="s">
        <v>166</v>
      </c>
      <c r="G225" t="s">
        <v>85</v>
      </c>
      <c r="H225" t="s">
        <v>169</v>
      </c>
      <c r="I225" t="s">
        <v>173</v>
      </c>
      <c r="J225" t="s">
        <v>89</v>
      </c>
      <c r="L225">
        <v>5</v>
      </c>
      <c r="M225">
        <v>9.5</v>
      </c>
      <c r="N225">
        <v>4.5</v>
      </c>
      <c r="O225" s="19">
        <v>0</v>
      </c>
      <c r="P225">
        <v>5</v>
      </c>
      <c r="Q225" t="s">
        <v>410</v>
      </c>
    </row>
    <row r="226" spans="1:17">
      <c r="A226" t="s">
        <v>338</v>
      </c>
      <c r="B226">
        <v>18</v>
      </c>
      <c r="C226" t="s">
        <v>210</v>
      </c>
      <c r="D226" t="s">
        <v>59</v>
      </c>
      <c r="E226" t="s">
        <v>166</v>
      </c>
      <c r="F226" t="s">
        <v>166</v>
      </c>
      <c r="G226" t="s">
        <v>85</v>
      </c>
      <c r="H226" t="s">
        <v>167</v>
      </c>
      <c r="I226" t="s">
        <v>171</v>
      </c>
      <c r="J226" t="s">
        <v>89</v>
      </c>
      <c r="L226">
        <v>26.5</v>
      </c>
      <c r="M226">
        <v>31</v>
      </c>
      <c r="N226">
        <v>4.5</v>
      </c>
      <c r="O226" s="19">
        <v>0</v>
      </c>
      <c r="P226">
        <v>26.5</v>
      </c>
      <c r="Q226" t="s">
        <v>410</v>
      </c>
    </row>
    <row r="227" spans="1:17">
      <c r="A227" t="s">
        <v>338</v>
      </c>
      <c r="B227">
        <v>18</v>
      </c>
      <c r="C227" t="s">
        <v>210</v>
      </c>
      <c r="D227" t="s">
        <v>110</v>
      </c>
      <c r="E227" t="s">
        <v>180</v>
      </c>
      <c r="F227" t="s">
        <v>180</v>
      </c>
      <c r="G227" t="s">
        <v>85</v>
      </c>
      <c r="H227" t="s">
        <v>181</v>
      </c>
      <c r="I227" t="s">
        <v>180</v>
      </c>
      <c r="J227" t="s">
        <v>89</v>
      </c>
      <c r="L227">
        <v>0</v>
      </c>
      <c r="M227">
        <v>0</v>
      </c>
      <c r="N227">
        <v>0</v>
      </c>
      <c r="O227" s="19">
        <v>0</v>
      </c>
      <c r="P227">
        <v>0</v>
      </c>
      <c r="Q227" t="s">
        <v>410</v>
      </c>
    </row>
    <row r="228" spans="1:17">
      <c r="A228" t="s">
        <v>338</v>
      </c>
      <c r="B228">
        <v>18</v>
      </c>
      <c r="C228" t="s">
        <v>210</v>
      </c>
      <c r="D228" t="s">
        <v>111</v>
      </c>
      <c r="E228" t="s">
        <v>180</v>
      </c>
      <c r="F228" t="s">
        <v>180</v>
      </c>
      <c r="G228" t="s">
        <v>86</v>
      </c>
      <c r="H228" t="s">
        <v>181</v>
      </c>
      <c r="I228" t="s">
        <v>180</v>
      </c>
      <c r="J228" t="s">
        <v>89</v>
      </c>
      <c r="L228">
        <v>-3</v>
      </c>
      <c r="M228">
        <v>21</v>
      </c>
      <c r="N228">
        <v>24</v>
      </c>
      <c r="O228" s="19">
        <v>0</v>
      </c>
      <c r="P228">
        <v>-3</v>
      </c>
      <c r="Q228" t="s">
        <v>410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20.7109375" customWidth="1"/>
  </cols>
  <sheetData>
    <row r="1" spans="1:2">
      <c r="A1" s="15" t="s">
        <v>449</v>
      </c>
      <c r="B1" s="15" t="s">
        <v>450</v>
      </c>
    </row>
    <row r="2" spans="1:2">
      <c r="A2" t="s">
        <v>467</v>
      </c>
      <c r="B2" t="s">
        <v>478</v>
      </c>
    </row>
    <row r="3" spans="1:2">
      <c r="A3" t="s">
        <v>468</v>
      </c>
      <c r="B3" t="s">
        <v>479</v>
      </c>
    </row>
    <row r="4" spans="1:2">
      <c r="A4" t="s">
        <v>469</v>
      </c>
      <c r="B4" t="s">
        <v>480</v>
      </c>
    </row>
    <row r="5" spans="1:2">
      <c r="A5" t="s">
        <v>470</v>
      </c>
      <c r="B5" t="s">
        <v>481</v>
      </c>
    </row>
    <row r="6" spans="1:2">
      <c r="A6" t="s">
        <v>455</v>
      </c>
      <c r="B6" t="s">
        <v>482</v>
      </c>
    </row>
    <row r="7" spans="1:2">
      <c r="A7" t="s">
        <v>471</v>
      </c>
      <c r="B7" t="s">
        <v>483</v>
      </c>
    </row>
    <row r="8" spans="1:2">
      <c r="A8" t="s">
        <v>472</v>
      </c>
      <c r="B8" t="s">
        <v>484</v>
      </c>
    </row>
    <row r="9" spans="1:2">
      <c r="A9" t="s">
        <v>473</v>
      </c>
      <c r="B9" t="s">
        <v>485</v>
      </c>
    </row>
    <row r="10" spans="1:2">
      <c r="A10" t="s">
        <v>474</v>
      </c>
      <c r="B10" t="s">
        <v>486</v>
      </c>
    </row>
    <row r="11" spans="1:2">
      <c r="A11" t="s">
        <v>475</v>
      </c>
      <c r="B11" t="s">
        <v>487</v>
      </c>
    </row>
    <row r="12" spans="1:2">
      <c r="A12" t="s">
        <v>476</v>
      </c>
      <c r="B12" t="s">
        <v>488</v>
      </c>
    </row>
    <row r="13" spans="1:2">
      <c r="A13" t="s">
        <v>477</v>
      </c>
      <c r="B13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Dashboard_Squadra</vt:lpstr>
      <vt:lpstr>_Dashboard_Data</vt:lpstr>
      <vt:lpstr>Dashboard_Giocatori</vt:lpstr>
      <vt:lpstr>_Dashboard_Giocatori_Data</vt:lpstr>
      <vt:lpstr>Dashboard_Portieri</vt:lpstr>
      <vt:lpstr>_Dashboard_Portieri_Data</vt:lpstr>
      <vt:lpstr>Confronto_Giocatori</vt:lpstr>
      <vt:lpstr>_Confronto_Data</vt:lpstr>
      <vt:lpstr>Partite</vt:lpstr>
      <vt:lpstr>Squadra_Stagione</vt:lpstr>
      <vt:lpstr>Squadra_Partita</vt:lpstr>
      <vt:lpstr>Giocatori_Stagione</vt:lpstr>
      <vt:lpstr>Portieri</vt:lpstr>
      <vt:lpstr>Valutazione_Stagione</vt:lpstr>
      <vt:lpstr>Classifiche</vt:lpstr>
      <vt:lpstr>Classifiche_Ruolo</vt:lpstr>
      <vt:lpstr>Giocatori_Partita</vt:lpstr>
      <vt:lpstr>Valutazione_Partita</vt:lpstr>
      <vt:lpstr>Metodo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2026-06-17T16:27:42Z</dcterms:created>
  <dcterms:modified xsi:type="dcterms:W3CDTF">2026-06-17T16:27:42Z</dcterms:modified>
</cp:coreProperties>
</file>